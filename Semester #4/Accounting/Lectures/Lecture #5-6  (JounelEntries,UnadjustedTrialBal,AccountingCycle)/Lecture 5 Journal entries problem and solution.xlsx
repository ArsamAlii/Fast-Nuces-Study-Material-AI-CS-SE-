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Spring 2025\Accounting\"/>
    </mc:Choice>
  </mc:AlternateContent>
  <xr:revisionPtr revIDLastSave="0" documentId="13_ncr:1_{893B6406-E21C-4379-94C8-1BE05FA40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1" l="1"/>
  <c r="H91" i="1"/>
  <c r="H86" i="1"/>
  <c r="H81" i="1"/>
  <c r="H76" i="1"/>
  <c r="H71" i="1"/>
  <c r="H66" i="1"/>
  <c r="H61" i="1"/>
  <c r="H57" i="1"/>
  <c r="H56" i="1"/>
  <c r="H49" i="1"/>
  <c r="H46" i="1"/>
  <c r="H45" i="1"/>
  <c r="H50" i="1"/>
  <c r="H47" i="1"/>
  <c r="I41" i="1"/>
  <c r="H41" i="1"/>
  <c r="H52" i="1"/>
  <c r="H51" i="1"/>
  <c r="H48" i="1"/>
  <c r="I8" i="1"/>
</calcChain>
</file>

<file path=xl/sharedStrings.xml><?xml version="1.0" encoding="utf-8"?>
<sst xmlns="http://schemas.openxmlformats.org/spreadsheetml/2006/main" count="156" uniqueCount="77">
  <si>
    <t xml:space="preserve">General Journal </t>
  </si>
  <si>
    <t>Date</t>
  </si>
  <si>
    <t>Debit</t>
  </si>
  <si>
    <t>Credit</t>
  </si>
  <si>
    <t>Cash</t>
  </si>
  <si>
    <t>Accont title and detail</t>
  </si>
  <si>
    <t>Aug. 1</t>
  </si>
  <si>
    <t>Aug. 4</t>
  </si>
  <si>
    <t xml:space="preserve">Building </t>
  </si>
  <si>
    <t>Note Payable</t>
  </si>
  <si>
    <t>Aug. 9</t>
  </si>
  <si>
    <t>Aug. 16</t>
  </si>
  <si>
    <t>Problem3.5b</t>
  </si>
  <si>
    <t>pg:133</t>
  </si>
  <si>
    <t>Ch; 3</t>
  </si>
  <si>
    <t>Dental Clinic</t>
  </si>
  <si>
    <t>Capital Stock</t>
  </si>
  <si>
    <t>(Invested $280000 in the business)</t>
  </si>
  <si>
    <t xml:space="preserve">Land </t>
  </si>
  <si>
    <t>(purchased land and building on cash and signed</t>
  </si>
  <si>
    <t>a note payble for remaing)</t>
  </si>
  <si>
    <t>Medical instruments</t>
  </si>
  <si>
    <t>(purchased medical insturment for cash)</t>
  </si>
  <si>
    <t>Office fixture &amp; Equipment</t>
  </si>
  <si>
    <t>Account Payable</t>
  </si>
  <si>
    <t>Aug. 21</t>
  </si>
  <si>
    <t xml:space="preserve">office supplies </t>
  </si>
  <si>
    <t>Aug. 24</t>
  </si>
  <si>
    <t>Account receivable</t>
  </si>
  <si>
    <t>Service Revenue</t>
  </si>
  <si>
    <t>Aug. 27</t>
  </si>
  <si>
    <t>Account payable</t>
  </si>
  <si>
    <t>Aug. 28</t>
  </si>
  <si>
    <t>Account Receivable</t>
  </si>
  <si>
    <t>Aug. 31</t>
  </si>
  <si>
    <t>Salary expense</t>
  </si>
  <si>
    <t>Particulars</t>
  </si>
  <si>
    <t>Balance</t>
  </si>
  <si>
    <t>Aug. 31 Balance</t>
  </si>
  <si>
    <t>A journal entry where two accounts are involved</t>
  </si>
  <si>
    <t>E.g. Cash, capital stock.</t>
  </si>
  <si>
    <t>A journal entry where more than two accounts are involved E.g. Land, Building, Cash, Note payable</t>
  </si>
  <si>
    <t>Accounting cycle</t>
  </si>
  <si>
    <t xml:space="preserve">Accounting Cycle </t>
  </si>
  <si>
    <r>
      <rPr>
        <b/>
        <sz val="11"/>
        <color theme="1"/>
        <rFont val="Calibri"/>
        <family val="2"/>
        <scheme val="minor"/>
      </rPr>
      <t>Step 1:</t>
    </r>
    <r>
      <rPr>
        <sz val="11"/>
        <color theme="1"/>
        <rFont val="Calibri"/>
        <family val="2"/>
        <scheme val="minor"/>
      </rPr>
      <t xml:space="preserve"> Preparing Journal Entries (Passing Journal Entries)</t>
    </r>
  </si>
  <si>
    <t xml:space="preserve">Total </t>
  </si>
  <si>
    <t xml:space="preserve">(it is a debit balance, as we know that cash is an assets account by nature and the normal balance of asset account is DEBIT.) </t>
  </si>
  <si>
    <t xml:space="preserve">Posting </t>
  </si>
  <si>
    <t xml:space="preserve">entries to Ledger </t>
  </si>
  <si>
    <t>Transfering Journal</t>
  </si>
  <si>
    <r>
      <rPr>
        <b/>
        <sz val="11"/>
        <color theme="1"/>
        <rFont val="Calibri"/>
        <family val="2"/>
        <scheme val="minor"/>
      </rPr>
      <t xml:space="preserve">Step 2: </t>
    </r>
    <r>
      <rPr>
        <sz val="11"/>
        <color theme="1"/>
        <rFont val="Calibri"/>
        <family val="2"/>
        <scheme val="minor"/>
      </rPr>
      <t>Posting to ledger accounts (Ledger in Running Balance format)</t>
    </r>
  </si>
  <si>
    <t xml:space="preserve">A journal is a chronological (datewise or day-by-day) of business economic events. </t>
  </si>
  <si>
    <t>General Journal:</t>
  </si>
  <si>
    <t xml:space="preserve">Four Essential parts of Journal: </t>
  </si>
  <si>
    <t xml:space="preserve">1. Date,  3. Debit and Credit Balances, 4. Brief Narration or description at the end of each journal entry usually in parenthesis. </t>
  </si>
  <si>
    <t xml:space="preserve">Journal Entry Types: </t>
  </si>
  <si>
    <t>1. Simple journal entry</t>
  </si>
  <si>
    <t>2. Compound Journal Entry</t>
  </si>
  <si>
    <t>Advertising Expense</t>
  </si>
  <si>
    <t>aug. 24</t>
  </si>
  <si>
    <t>office supplies</t>
  </si>
  <si>
    <t>Building</t>
  </si>
  <si>
    <t>Medical Instrumets</t>
  </si>
  <si>
    <t>Office fixture and equipment</t>
  </si>
  <si>
    <t>Order to be followed while preparing ledgeraccounts</t>
  </si>
  <si>
    <t>Balance sheet</t>
  </si>
  <si>
    <t>Current assets</t>
  </si>
  <si>
    <t>FixedAssets</t>
  </si>
  <si>
    <t>Current liability</t>
  </si>
  <si>
    <t>Fixed liability</t>
  </si>
  <si>
    <t>Owners equity</t>
  </si>
  <si>
    <t>Dividend</t>
  </si>
  <si>
    <t>Drawings</t>
  </si>
  <si>
    <t>Revenue</t>
  </si>
  <si>
    <t>Income statement account</t>
  </si>
  <si>
    <t>Expenses</t>
  </si>
  <si>
    <t>account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</si>
</sst>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6" fontId="2" fillId="0" borderId="1" xfId="0" applyNumberFormat="1" applyFont="1" applyBorder="1"/>
    <xf numFmtId="0" fontId="1" fillId="3" borderId="0" xfId="0" applyFont="1" applyFill="1"/>
    <xf numFmtId="0" fontId="0" fillId="3" borderId="0" xfId="0" applyFill="1"/>
    <xf numFmtId="44" fontId="0" fillId="0" borderId="1" xfId="0" applyNumberFormat="1" applyBorder="1"/>
    <xf numFmtId="44" fontId="1" fillId="0" borderId="1" xfId="0" applyNumberFormat="1" applyFont="1" applyBorder="1"/>
    <xf numFmtId="0" fontId="3" fillId="0" borderId="0" xfId="0" applyFont="1"/>
    <xf numFmtId="0" fontId="0" fillId="4" borderId="1" xfId="0" applyFill="1" applyBorder="1"/>
    <xf numFmtId="0" fontId="4" fillId="5" borderId="0" xfId="0" applyFont="1" applyFill="1"/>
    <xf numFmtId="0" fontId="0" fillId="6" borderId="1" xfId="0" applyFill="1" applyBorder="1"/>
    <xf numFmtId="0" fontId="1" fillId="7" borderId="0" xfId="0" applyFont="1" applyFill="1"/>
    <xf numFmtId="0" fontId="1" fillId="6" borderId="0" xfId="0" applyFont="1" applyFill="1"/>
    <xf numFmtId="6" fontId="0" fillId="6" borderId="1" xfId="0" applyNumberFormat="1" applyFill="1" applyBorder="1"/>
    <xf numFmtId="6" fontId="5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606137</xdr:colOff>
      <xdr:row>6</xdr:row>
      <xdr:rowOff>186170</xdr:rowOff>
    </xdr:from>
    <xdr:to>
      <xdr:col>9</xdr:col>
      <xdr:colOff>567171</xdr:colOff>
      <xdr:row>6</xdr:row>
      <xdr:rowOff>190499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42E78A0-4C73-3367-B344-0C0144FFF380}"/>
            </a:ext>
          </a:extLst>
        </xdr:cNvPr>
        <xdr:cNvCxnSpPr/>
      </xdr:nvCxnSpPr>
      <xdr:spPr>
        <a:xfrm flipV="1">
          <a:off x="5758708" y="1329170"/>
          <a:ext cx="827356" cy="4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108238</xdr:rowOff>
    </xdr:from>
    <xdr:to>
      <xdr:col>10</xdr:col>
      <xdr:colOff>0</xdr:colOff>
      <xdr:row>11</xdr:row>
      <xdr:rowOff>108238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60CCBD5-3F05-46F2-9096-32512EDECA2C}"/>
            </a:ext>
          </a:extLst>
        </xdr:cNvPr>
        <xdr:cNvCxnSpPr/>
      </xdr:nvCxnSpPr>
      <xdr:spPr>
        <a:xfrm>
          <a:off x="5494193" y="2203738"/>
          <a:ext cx="6104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335642</xdr:colOff>
      <xdr:row>6</xdr:row>
      <xdr:rowOff>86177</xdr:rowOff>
    </xdr:from>
    <xdr:to>
      <xdr:col>2</xdr:col>
      <xdr:colOff>585109</xdr:colOff>
      <xdr:row>44</xdr:row>
      <xdr:rowOff>108858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8D41D7AF-D784-2CDC-336E-5270CC09980C}"/>
            </a:ext>
          </a:extLst>
        </xdr:cNvPr>
        <xdr:cNvCxnSpPr/>
      </xdr:nvCxnSpPr>
      <xdr:spPr>
        <a:xfrm rot="5400000">
          <a:off x="-2562680" y="4127499"/>
          <a:ext cx="7261681" cy="1465038"/>
        </a:xfrm>
        <a:prstGeom prst="bentConnector3">
          <a:avLst>
            <a:gd name="adj1" fmla="val -3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340179</xdr:colOff>
      <xdr:row>44</xdr:row>
      <xdr:rowOff>90714</xdr:rowOff>
    </xdr:from>
    <xdr:to>
      <xdr:col>4</xdr:col>
      <xdr:colOff>603250</xdr:colOff>
      <xdr:row>44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C64B239-FF15-6862-94E0-7728833D4EEE}"/>
            </a:ext>
          </a:extLst>
        </xdr:cNvPr>
        <xdr:cNvCxnSpPr/>
      </xdr:nvCxnSpPr>
      <xdr:spPr>
        <a:xfrm>
          <a:off x="340179" y="8472714"/>
          <a:ext cx="2694214" cy="45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456291</xdr:colOff>
      <xdr:row>12</xdr:row>
      <xdr:rowOff>72572</xdr:rowOff>
    </xdr:from>
    <xdr:to>
      <xdr:col>3</xdr:col>
      <xdr:colOff>585107</xdr:colOff>
      <xdr:row>45</xdr:row>
      <xdr:rowOff>93438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DAE4E91D-D0F5-4CEF-AF41-ECCFBBDFD47B}"/>
            </a:ext>
          </a:extLst>
        </xdr:cNvPr>
        <xdr:cNvCxnSpPr/>
      </xdr:nvCxnSpPr>
      <xdr:spPr>
        <a:xfrm rot="5400000">
          <a:off x="-1721305" y="4536168"/>
          <a:ext cx="6307366" cy="1952173"/>
        </a:xfrm>
        <a:prstGeom prst="bentConnector3">
          <a:avLst>
            <a:gd name="adj1" fmla="val 21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453571</xdr:colOff>
      <xdr:row>45</xdr:row>
      <xdr:rowOff>81643</xdr:rowOff>
    </xdr:from>
    <xdr:to>
      <xdr:col>6</xdr:col>
      <xdr:colOff>213179</xdr:colOff>
      <xdr:row>45</xdr:row>
      <xdr:rowOff>104321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A53BAD8-335D-4A5B-ACC7-478CF80C395F}"/>
            </a:ext>
          </a:extLst>
        </xdr:cNvPr>
        <xdr:cNvCxnSpPr/>
      </xdr:nvCxnSpPr>
      <xdr:spPr>
        <a:xfrm>
          <a:off x="453571" y="8654143"/>
          <a:ext cx="3438072" cy="226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zoomScale="170" zoomScaleNormal="170" workbookViewId="0">
      <selection activeCell="B2" sqref="B2"/>
    </sheetView>
  </sheetViews>
  <sheetFormatPr defaultRowHeight="15" x14ac:dyDescent="0.25"/>
  <cols>
    <col min="6" max="6" width="9.5703125" bestFit="1" customWidth="1"/>
    <col min="8" max="8" width="13" bestFit="1" customWidth="1"/>
    <col min="9" max="9" width="14.85546875" customWidth="1"/>
    <col min="10" max="10" width="15.42578125" customWidth="1"/>
    <col min="11" max="11" width="16.140625" customWidth="1"/>
  </cols>
  <sheetData>
    <row r="1" spans="2:12" x14ac:dyDescent="0.25">
      <c r="B1" t="s">
        <v>15</v>
      </c>
      <c r="D1" s="7" t="s">
        <v>43</v>
      </c>
      <c r="E1" s="7"/>
      <c r="F1" s="4"/>
      <c r="G1" s="4"/>
      <c r="H1" s="4"/>
      <c r="I1" s="4"/>
      <c r="J1" s="4"/>
    </row>
    <row r="2" spans="2:12" x14ac:dyDescent="0.25">
      <c r="B2" t="s">
        <v>12</v>
      </c>
      <c r="E2" s="5" t="s">
        <v>44</v>
      </c>
      <c r="F2" s="5"/>
      <c r="G2" s="5"/>
      <c r="H2" s="5"/>
      <c r="I2" s="5"/>
    </row>
    <row r="3" spans="2:12" x14ac:dyDescent="0.25">
      <c r="B3" t="s">
        <v>13</v>
      </c>
      <c r="J3" s="16" t="s">
        <v>52</v>
      </c>
      <c r="K3" t="s">
        <v>51</v>
      </c>
    </row>
    <row r="4" spans="2:12" x14ac:dyDescent="0.25">
      <c r="B4" t="s">
        <v>14</v>
      </c>
      <c r="E4" s="4" t="s">
        <v>0</v>
      </c>
      <c r="F4" s="4"/>
      <c r="J4" s="15" t="s">
        <v>53</v>
      </c>
      <c r="K4" s="15"/>
      <c r="L4" s="15"/>
    </row>
    <row r="5" spans="2:12" x14ac:dyDescent="0.25">
      <c r="C5" s="3" t="s">
        <v>1</v>
      </c>
      <c r="D5" s="3"/>
      <c r="E5" s="3" t="s">
        <v>5</v>
      </c>
      <c r="F5" s="3"/>
      <c r="G5" s="3"/>
      <c r="H5" s="3" t="s">
        <v>2</v>
      </c>
      <c r="I5" s="3" t="s">
        <v>3</v>
      </c>
      <c r="K5" t="s">
        <v>54</v>
      </c>
    </row>
    <row r="6" spans="2:12" x14ac:dyDescent="0.25">
      <c r="C6" s="3">
        <v>2011</v>
      </c>
      <c r="D6" s="1"/>
      <c r="E6" s="1"/>
      <c r="F6" s="1"/>
      <c r="G6" s="1"/>
      <c r="H6" s="9"/>
      <c r="I6" s="9"/>
      <c r="K6" s="16" t="s">
        <v>55</v>
      </c>
      <c r="L6" s="16"/>
    </row>
    <row r="7" spans="2:12" x14ac:dyDescent="0.25">
      <c r="C7" s="1" t="s">
        <v>6</v>
      </c>
      <c r="D7" s="12" t="s">
        <v>4</v>
      </c>
      <c r="E7" s="1"/>
      <c r="F7" s="1"/>
      <c r="G7" s="1"/>
      <c r="H7" s="9">
        <v>280000</v>
      </c>
      <c r="I7" s="9"/>
      <c r="K7" t="s">
        <v>56</v>
      </c>
    </row>
    <row r="8" spans="2:12" x14ac:dyDescent="0.25">
      <c r="C8" s="1"/>
      <c r="D8" s="1"/>
      <c r="E8" s="1" t="s">
        <v>16</v>
      </c>
      <c r="F8" s="1"/>
      <c r="G8" s="1"/>
      <c r="H8" s="9"/>
      <c r="I8" s="9">
        <f>H7</f>
        <v>280000</v>
      </c>
      <c r="K8" t="s">
        <v>39</v>
      </c>
    </row>
    <row r="9" spans="2:12" x14ac:dyDescent="0.25">
      <c r="C9" s="1"/>
      <c r="D9" s="1" t="s">
        <v>17</v>
      </c>
      <c r="E9" s="1"/>
      <c r="F9" s="1"/>
      <c r="G9" s="1"/>
      <c r="H9" s="9"/>
      <c r="I9" s="9"/>
      <c r="K9" t="s">
        <v>40</v>
      </c>
    </row>
    <row r="10" spans="2:12" x14ac:dyDescent="0.25">
      <c r="C10" s="1"/>
      <c r="D10" s="1"/>
      <c r="E10" s="1"/>
      <c r="F10" s="1"/>
      <c r="G10" s="1"/>
      <c r="H10" s="9"/>
      <c r="I10" s="9"/>
    </row>
    <row r="11" spans="2:12" x14ac:dyDescent="0.25">
      <c r="C11" s="1" t="s">
        <v>7</v>
      </c>
      <c r="D11" s="1" t="s">
        <v>18</v>
      </c>
      <c r="E11" s="1"/>
      <c r="F11" s="1"/>
      <c r="G11" s="1"/>
      <c r="H11" s="9">
        <v>60000</v>
      </c>
      <c r="I11" s="9"/>
    </row>
    <row r="12" spans="2:12" x14ac:dyDescent="0.25">
      <c r="C12" s="1"/>
      <c r="D12" s="1" t="s">
        <v>8</v>
      </c>
      <c r="E12" s="1"/>
      <c r="F12" s="1"/>
      <c r="G12" s="1"/>
      <c r="H12" s="9">
        <v>340000</v>
      </c>
      <c r="I12" s="9"/>
      <c r="K12" t="s">
        <v>57</v>
      </c>
    </row>
    <row r="13" spans="2:12" x14ac:dyDescent="0.25">
      <c r="C13" s="1"/>
      <c r="D13" s="1"/>
      <c r="E13" s="12" t="s">
        <v>4</v>
      </c>
      <c r="F13" s="1"/>
      <c r="G13" s="1"/>
      <c r="H13" s="9"/>
      <c r="I13" s="9">
        <v>80000</v>
      </c>
      <c r="K13" t="s">
        <v>41</v>
      </c>
    </row>
    <row r="14" spans="2:12" x14ac:dyDescent="0.25">
      <c r="C14" s="1"/>
      <c r="D14" s="1"/>
      <c r="E14" s="1" t="s">
        <v>9</v>
      </c>
      <c r="F14" s="1"/>
      <c r="G14" s="1"/>
      <c r="H14" s="9"/>
      <c r="I14" s="9">
        <v>320000</v>
      </c>
    </row>
    <row r="15" spans="2:12" x14ac:dyDescent="0.25">
      <c r="C15" s="1"/>
      <c r="D15" s="1" t="s">
        <v>19</v>
      </c>
      <c r="E15" s="1"/>
      <c r="F15" s="1"/>
      <c r="G15" s="1"/>
      <c r="H15" s="9"/>
      <c r="I15" s="9"/>
    </row>
    <row r="16" spans="2:12" x14ac:dyDescent="0.25">
      <c r="C16" s="1"/>
      <c r="D16" s="1" t="s">
        <v>20</v>
      </c>
      <c r="E16" s="1"/>
      <c r="F16" s="1"/>
      <c r="G16" s="1"/>
      <c r="H16" s="9"/>
      <c r="I16" s="9"/>
    </row>
    <row r="17" spans="3:9" x14ac:dyDescent="0.25">
      <c r="C17" s="1"/>
      <c r="D17" s="1"/>
      <c r="E17" s="1"/>
      <c r="F17" s="1"/>
      <c r="G17" s="1"/>
      <c r="H17" s="9"/>
      <c r="I17" s="9"/>
    </row>
    <row r="18" spans="3:9" x14ac:dyDescent="0.25">
      <c r="C18" s="1" t="s">
        <v>10</v>
      </c>
      <c r="D18" s="1" t="s">
        <v>21</v>
      </c>
      <c r="E18" s="1"/>
      <c r="F18" s="1"/>
      <c r="G18" s="1"/>
      <c r="H18" s="9">
        <v>75000</v>
      </c>
      <c r="I18" s="9"/>
    </row>
    <row r="19" spans="3:9" x14ac:dyDescent="0.25">
      <c r="C19" s="1"/>
      <c r="D19" s="1"/>
      <c r="E19" s="1" t="s">
        <v>4</v>
      </c>
      <c r="F19" s="1"/>
      <c r="G19" s="1"/>
      <c r="H19" s="9"/>
      <c r="I19" s="9">
        <v>75000</v>
      </c>
    </row>
    <row r="20" spans="3:9" x14ac:dyDescent="0.25">
      <c r="C20" s="1"/>
      <c r="D20" s="1" t="s">
        <v>22</v>
      </c>
      <c r="E20" s="1"/>
      <c r="F20" s="1"/>
      <c r="G20" s="1"/>
      <c r="H20" s="9"/>
      <c r="I20" s="9"/>
    </row>
    <row r="21" spans="3:9" x14ac:dyDescent="0.25">
      <c r="C21" s="1"/>
      <c r="D21" s="1"/>
      <c r="E21" s="1"/>
      <c r="F21" s="1"/>
      <c r="G21" s="1"/>
      <c r="H21" s="9"/>
      <c r="I21" s="9"/>
    </row>
    <row r="22" spans="3:9" x14ac:dyDescent="0.25">
      <c r="C22" s="1" t="s">
        <v>11</v>
      </c>
      <c r="D22" s="1" t="s">
        <v>23</v>
      </c>
      <c r="E22" s="1"/>
      <c r="F22" s="1"/>
      <c r="G22" s="1"/>
      <c r="H22" s="9">
        <v>25000</v>
      </c>
      <c r="I22" s="9"/>
    </row>
    <row r="23" spans="3:9" x14ac:dyDescent="0.25">
      <c r="C23" s="1"/>
      <c r="D23" s="1"/>
      <c r="E23" s="1" t="s">
        <v>4</v>
      </c>
      <c r="F23" s="1"/>
      <c r="G23" s="1"/>
      <c r="H23" s="9"/>
      <c r="I23" s="9">
        <v>10000</v>
      </c>
    </row>
    <row r="24" spans="3:9" x14ac:dyDescent="0.25">
      <c r="C24" s="1"/>
      <c r="D24" s="1"/>
      <c r="E24" s="1" t="s">
        <v>24</v>
      </c>
      <c r="F24" s="1"/>
      <c r="G24" s="1"/>
      <c r="H24" s="9"/>
      <c r="I24" s="9">
        <v>15000</v>
      </c>
    </row>
    <row r="25" spans="3:9" x14ac:dyDescent="0.25">
      <c r="C25" s="1"/>
      <c r="D25" s="1"/>
      <c r="E25" s="1"/>
      <c r="F25" s="1"/>
      <c r="G25" s="1"/>
      <c r="H25" s="9"/>
      <c r="I25" s="9"/>
    </row>
    <row r="26" spans="3:9" x14ac:dyDescent="0.25">
      <c r="C26" s="1" t="s">
        <v>25</v>
      </c>
      <c r="D26" s="1" t="s">
        <v>26</v>
      </c>
      <c r="E26" s="1"/>
      <c r="F26" s="1"/>
      <c r="G26" s="1"/>
      <c r="H26" s="9">
        <v>4200</v>
      </c>
      <c r="I26" s="9"/>
    </row>
    <row r="27" spans="3:9" x14ac:dyDescent="0.25">
      <c r="C27" s="1"/>
      <c r="D27" s="1"/>
      <c r="E27" s="1" t="s">
        <v>4</v>
      </c>
      <c r="F27" s="1"/>
      <c r="G27" s="1"/>
      <c r="H27" s="9"/>
      <c r="I27" s="9">
        <v>4200</v>
      </c>
    </row>
    <row r="28" spans="3:9" x14ac:dyDescent="0.25">
      <c r="C28" s="1"/>
      <c r="D28" s="1"/>
      <c r="E28" s="1"/>
      <c r="F28" s="1"/>
      <c r="G28" s="1"/>
      <c r="H28" s="9"/>
      <c r="I28" s="9"/>
    </row>
    <row r="29" spans="3:9" x14ac:dyDescent="0.25">
      <c r="C29" s="1" t="s">
        <v>27</v>
      </c>
      <c r="D29" s="1" t="s">
        <v>4</v>
      </c>
      <c r="E29" s="1"/>
      <c r="F29" s="1"/>
      <c r="G29" s="1"/>
      <c r="H29" s="9">
        <v>1000</v>
      </c>
      <c r="I29" s="9"/>
    </row>
    <row r="30" spans="3:9" x14ac:dyDescent="0.25">
      <c r="C30" s="1"/>
      <c r="D30" s="1" t="s">
        <v>28</v>
      </c>
      <c r="E30" s="1"/>
      <c r="F30" s="1"/>
      <c r="G30" s="1"/>
      <c r="H30" s="9">
        <v>12000</v>
      </c>
      <c r="I30" s="9"/>
    </row>
    <row r="31" spans="3:9" x14ac:dyDescent="0.25">
      <c r="C31" s="1"/>
      <c r="D31" s="1"/>
      <c r="E31" s="1" t="s">
        <v>29</v>
      </c>
      <c r="F31" s="1"/>
      <c r="G31" s="1"/>
      <c r="H31" s="9"/>
      <c r="I31" s="9">
        <v>13000</v>
      </c>
    </row>
    <row r="32" spans="3:9" x14ac:dyDescent="0.25">
      <c r="C32" s="1"/>
      <c r="D32" s="1"/>
      <c r="E32" s="1"/>
      <c r="F32" s="1"/>
      <c r="G32" s="1"/>
      <c r="H32" s="9"/>
      <c r="I32" s="9"/>
    </row>
    <row r="33" spans="1:14" x14ac:dyDescent="0.25">
      <c r="C33" s="1" t="s">
        <v>30</v>
      </c>
      <c r="D33" s="1" t="s">
        <v>58</v>
      </c>
      <c r="E33" s="1"/>
      <c r="F33" s="1"/>
      <c r="G33" s="1"/>
      <c r="H33" s="9">
        <v>450</v>
      </c>
      <c r="I33" s="9"/>
    </row>
    <row r="34" spans="1:14" x14ac:dyDescent="0.25">
      <c r="C34" s="1"/>
      <c r="D34" s="1"/>
      <c r="E34" s="1" t="s">
        <v>31</v>
      </c>
      <c r="F34" s="1"/>
      <c r="G34" s="1"/>
      <c r="H34" s="9"/>
      <c r="I34" s="9">
        <v>450</v>
      </c>
    </row>
    <row r="35" spans="1:14" x14ac:dyDescent="0.25">
      <c r="C35" s="1"/>
      <c r="D35" s="1"/>
      <c r="E35" s="1"/>
      <c r="F35" s="1"/>
      <c r="G35" s="1"/>
      <c r="H35" s="9"/>
      <c r="I35" s="9"/>
    </row>
    <row r="36" spans="1:14" x14ac:dyDescent="0.25">
      <c r="C36" s="1" t="s">
        <v>32</v>
      </c>
      <c r="D36" s="1" t="s">
        <v>4</v>
      </c>
      <c r="E36" s="1"/>
      <c r="F36" s="1"/>
      <c r="G36" s="1"/>
      <c r="H36" s="9">
        <v>500</v>
      </c>
      <c r="I36" s="9"/>
    </row>
    <row r="37" spans="1:14" x14ac:dyDescent="0.25">
      <c r="C37" s="1"/>
      <c r="D37" s="1"/>
      <c r="E37" s="1" t="s">
        <v>33</v>
      </c>
      <c r="F37" s="1"/>
      <c r="G37" s="1"/>
      <c r="H37" s="9"/>
      <c r="I37" s="9">
        <v>500</v>
      </c>
    </row>
    <row r="38" spans="1:14" x14ac:dyDescent="0.25">
      <c r="C38" s="1"/>
      <c r="D38" s="1"/>
      <c r="E38" s="1"/>
      <c r="F38" s="1"/>
      <c r="G38" s="1"/>
      <c r="H38" s="9"/>
      <c r="I38" s="9"/>
    </row>
    <row r="39" spans="1:14" x14ac:dyDescent="0.25">
      <c r="C39" s="1" t="s">
        <v>34</v>
      </c>
      <c r="D39" s="1" t="s">
        <v>35</v>
      </c>
      <c r="E39" s="1"/>
      <c r="F39" s="1"/>
      <c r="G39" s="1"/>
      <c r="H39" s="9">
        <v>2200</v>
      </c>
      <c r="I39" s="9"/>
    </row>
    <row r="40" spans="1:14" x14ac:dyDescent="0.25">
      <c r="C40" s="1"/>
      <c r="D40" s="1"/>
      <c r="E40" s="1" t="s">
        <v>4</v>
      </c>
      <c r="F40" s="1"/>
      <c r="G40" s="1"/>
      <c r="H40" s="9"/>
      <c r="I40" s="9">
        <v>2200</v>
      </c>
    </row>
    <row r="41" spans="1:14" x14ac:dyDescent="0.25">
      <c r="C41" s="19" t="s">
        <v>45</v>
      </c>
      <c r="D41" s="21"/>
      <c r="E41" s="21"/>
      <c r="F41" s="21"/>
      <c r="G41" s="20"/>
      <c r="H41" s="10">
        <f>SUM(H7:H40)</f>
        <v>800350</v>
      </c>
      <c r="I41" s="10">
        <f>SUM(I8:I40)</f>
        <v>800350</v>
      </c>
    </row>
    <row r="42" spans="1:14" x14ac:dyDescent="0.25">
      <c r="B42" s="7" t="s">
        <v>42</v>
      </c>
      <c r="C42" s="8"/>
      <c r="D42" s="5" t="s">
        <v>50</v>
      </c>
      <c r="E42" s="5"/>
      <c r="F42" s="5"/>
      <c r="G42" s="5"/>
      <c r="H42" s="5"/>
      <c r="I42" s="5"/>
      <c r="K42" t="s">
        <v>64</v>
      </c>
    </row>
    <row r="43" spans="1:14" x14ac:dyDescent="0.25">
      <c r="E43" s="4" t="s">
        <v>4</v>
      </c>
      <c r="K43" t="s">
        <v>65</v>
      </c>
      <c r="L43" s="8">
        <v>1</v>
      </c>
      <c r="M43" s="8" t="s">
        <v>66</v>
      </c>
      <c r="N43" s="8"/>
    </row>
    <row r="44" spans="1:14" x14ac:dyDescent="0.25">
      <c r="C44" s="14" t="s">
        <v>1</v>
      </c>
      <c r="D44" s="14" t="s">
        <v>36</v>
      </c>
      <c r="E44" s="14"/>
      <c r="F44" s="14" t="s">
        <v>2</v>
      </c>
      <c r="G44" s="14" t="s">
        <v>3</v>
      </c>
      <c r="H44" s="14" t="s">
        <v>37</v>
      </c>
      <c r="L44" s="8">
        <v>2</v>
      </c>
      <c r="M44" s="8" t="s">
        <v>67</v>
      </c>
      <c r="N44" s="8"/>
    </row>
    <row r="45" spans="1:14" x14ac:dyDescent="0.25">
      <c r="C45" s="1" t="s">
        <v>6</v>
      </c>
      <c r="D45" s="19"/>
      <c r="E45" s="20"/>
      <c r="F45" s="17">
        <v>280000</v>
      </c>
      <c r="G45" s="1"/>
      <c r="H45" s="2">
        <f>F45</f>
        <v>280000</v>
      </c>
      <c r="L45">
        <v>3</v>
      </c>
      <c r="M45" t="s">
        <v>68</v>
      </c>
    </row>
    <row r="46" spans="1:14" x14ac:dyDescent="0.25">
      <c r="A46" s="13" t="s">
        <v>47</v>
      </c>
      <c r="C46" s="1" t="s">
        <v>7</v>
      </c>
      <c r="D46" s="19"/>
      <c r="E46" s="20"/>
      <c r="F46" s="1"/>
      <c r="G46" s="14">
        <v>80000</v>
      </c>
      <c r="H46" s="2">
        <f>H45-G46</f>
        <v>200000</v>
      </c>
      <c r="L46">
        <v>4</v>
      </c>
      <c r="M46" t="s">
        <v>69</v>
      </c>
    </row>
    <row r="47" spans="1:14" x14ac:dyDescent="0.25">
      <c r="A47" t="s">
        <v>49</v>
      </c>
      <c r="C47" s="1" t="s">
        <v>10</v>
      </c>
      <c r="D47" s="19"/>
      <c r="E47" s="20"/>
      <c r="F47" s="1"/>
      <c r="G47" s="1">
        <v>75000</v>
      </c>
      <c r="H47" s="2">
        <f>H46-G47</f>
        <v>125000</v>
      </c>
      <c r="L47">
        <v>5</v>
      </c>
      <c r="M47" t="s">
        <v>70</v>
      </c>
    </row>
    <row r="48" spans="1:14" x14ac:dyDescent="0.25">
      <c r="A48" t="s">
        <v>48</v>
      </c>
      <c r="C48" s="1" t="s">
        <v>11</v>
      </c>
      <c r="D48" s="19"/>
      <c r="E48" s="20"/>
      <c r="F48" s="1"/>
      <c r="G48" s="1">
        <v>10000</v>
      </c>
      <c r="H48" s="2">
        <f>H47-G48</f>
        <v>115000</v>
      </c>
      <c r="L48">
        <v>6</v>
      </c>
      <c r="M48" t="s">
        <v>71</v>
      </c>
    </row>
    <row r="49" spans="3:13" x14ac:dyDescent="0.25">
      <c r="C49" s="1" t="s">
        <v>25</v>
      </c>
      <c r="D49" s="19"/>
      <c r="E49" s="20"/>
      <c r="F49" s="1"/>
      <c r="G49" s="1">
        <v>4200</v>
      </c>
      <c r="H49" s="2">
        <f>H48-G49</f>
        <v>110800</v>
      </c>
      <c r="L49">
        <v>7</v>
      </c>
      <c r="M49" t="s">
        <v>72</v>
      </c>
    </row>
    <row r="50" spans="3:13" x14ac:dyDescent="0.25">
      <c r="C50" s="1" t="s">
        <v>27</v>
      </c>
      <c r="D50" s="19"/>
      <c r="E50" s="20"/>
      <c r="F50" s="1">
        <v>1000</v>
      </c>
      <c r="G50" s="1"/>
      <c r="H50" s="2">
        <f>H49+F50</f>
        <v>111800</v>
      </c>
      <c r="K50" t="s">
        <v>74</v>
      </c>
      <c r="L50">
        <v>8</v>
      </c>
      <c r="M50" t="s">
        <v>73</v>
      </c>
    </row>
    <row r="51" spans="3:13" x14ac:dyDescent="0.25">
      <c r="C51" s="1" t="s">
        <v>32</v>
      </c>
      <c r="D51" s="19"/>
      <c r="E51" s="20"/>
      <c r="F51" s="1">
        <v>500</v>
      </c>
      <c r="G51" s="1"/>
      <c r="H51" s="2">
        <f>H50+F51</f>
        <v>112300</v>
      </c>
      <c r="L51">
        <v>9</v>
      </c>
      <c r="M51" t="s">
        <v>75</v>
      </c>
    </row>
    <row r="52" spans="3:13" x14ac:dyDescent="0.25">
      <c r="C52" s="1" t="s">
        <v>34</v>
      </c>
      <c r="D52" s="19"/>
      <c r="E52" s="20"/>
      <c r="F52" s="1"/>
      <c r="G52" s="1">
        <v>2200</v>
      </c>
      <c r="H52" s="6">
        <f>H51-G52</f>
        <v>110100</v>
      </c>
      <c r="I52" s="11" t="s">
        <v>38</v>
      </c>
      <c r="J52" s="11"/>
    </row>
    <row r="53" spans="3:13" x14ac:dyDescent="0.25">
      <c r="I53" t="s">
        <v>46</v>
      </c>
    </row>
    <row r="54" spans="3:13" x14ac:dyDescent="0.25">
      <c r="E54" s="4" t="s">
        <v>33</v>
      </c>
      <c r="F54" s="4"/>
    </row>
    <row r="55" spans="3:13" x14ac:dyDescent="0.25">
      <c r="C55" s="14" t="s">
        <v>1</v>
      </c>
      <c r="D55" s="14" t="s">
        <v>36</v>
      </c>
      <c r="E55" s="14"/>
      <c r="F55" s="14" t="s">
        <v>2</v>
      </c>
      <c r="G55" s="14" t="s">
        <v>3</v>
      </c>
      <c r="H55" s="14" t="s">
        <v>37</v>
      </c>
    </row>
    <row r="56" spans="3:13" x14ac:dyDescent="0.25">
      <c r="C56" s="1" t="s">
        <v>59</v>
      </c>
      <c r="D56" s="19"/>
      <c r="E56" s="20"/>
      <c r="F56" s="2">
        <v>12000</v>
      </c>
      <c r="G56" s="1"/>
      <c r="H56" s="2">
        <f>F56</f>
        <v>12000</v>
      </c>
    </row>
    <row r="57" spans="3:13" x14ac:dyDescent="0.25">
      <c r="C57" s="1" t="s">
        <v>32</v>
      </c>
      <c r="D57" s="19"/>
      <c r="E57" s="20"/>
      <c r="F57" s="1"/>
      <c r="G57" s="1">
        <v>500</v>
      </c>
      <c r="H57" s="18">
        <f>H56-G57</f>
        <v>11500</v>
      </c>
      <c r="I57" t="s">
        <v>38</v>
      </c>
    </row>
    <row r="59" spans="3:13" x14ac:dyDescent="0.25">
      <c r="E59" s="4" t="s">
        <v>60</v>
      </c>
      <c r="F59" s="4"/>
    </row>
    <row r="60" spans="3:13" x14ac:dyDescent="0.25">
      <c r="C60" s="14" t="s">
        <v>1</v>
      </c>
      <c r="D60" s="14" t="s">
        <v>36</v>
      </c>
      <c r="E60" s="14"/>
      <c r="F60" s="14" t="s">
        <v>2</v>
      </c>
      <c r="G60" s="14" t="s">
        <v>3</v>
      </c>
      <c r="H60" s="14" t="s">
        <v>37</v>
      </c>
    </row>
    <row r="61" spans="3:13" x14ac:dyDescent="0.25">
      <c r="C61" s="1" t="s">
        <v>25</v>
      </c>
      <c r="D61" s="19"/>
      <c r="E61" s="20"/>
      <c r="F61" s="2">
        <v>4200</v>
      </c>
      <c r="G61" s="1"/>
      <c r="H61" s="2">
        <f>F61</f>
        <v>4200</v>
      </c>
      <c r="I61" t="s">
        <v>38</v>
      </c>
    </row>
    <row r="62" spans="3:13" x14ac:dyDescent="0.25">
      <c r="C62" s="1"/>
      <c r="D62" s="19"/>
      <c r="E62" s="20"/>
      <c r="F62" s="1"/>
      <c r="G62" s="1"/>
      <c r="H62" s="18"/>
    </row>
    <row r="64" spans="3:13" x14ac:dyDescent="0.25">
      <c r="E64" s="4" t="s">
        <v>18</v>
      </c>
      <c r="F64" s="4"/>
    </row>
    <row r="65" spans="3:9" x14ac:dyDescent="0.25">
      <c r="C65" s="14" t="s">
        <v>1</v>
      </c>
      <c r="D65" s="14" t="s">
        <v>36</v>
      </c>
      <c r="E65" s="14"/>
      <c r="F65" s="14" t="s">
        <v>2</v>
      </c>
      <c r="G65" s="14" t="s">
        <v>3</v>
      </c>
      <c r="H65" s="14" t="s">
        <v>37</v>
      </c>
    </row>
    <row r="66" spans="3:9" x14ac:dyDescent="0.25">
      <c r="C66" s="1" t="s">
        <v>7</v>
      </c>
      <c r="D66" s="19"/>
      <c r="E66" s="20"/>
      <c r="F66" s="2">
        <v>60000</v>
      </c>
      <c r="G66" s="1"/>
      <c r="H66" s="2">
        <f>F66</f>
        <v>60000</v>
      </c>
      <c r="I66" t="s">
        <v>38</v>
      </c>
    </row>
    <row r="67" spans="3:9" x14ac:dyDescent="0.25">
      <c r="C67" s="1"/>
      <c r="D67" s="19"/>
      <c r="E67" s="20"/>
      <c r="F67" s="1"/>
      <c r="G67" s="1"/>
      <c r="H67" s="18"/>
    </row>
    <row r="69" spans="3:9" x14ac:dyDescent="0.25">
      <c r="E69" s="4" t="s">
        <v>61</v>
      </c>
      <c r="F69" s="4"/>
    </row>
    <row r="70" spans="3:9" x14ac:dyDescent="0.25">
      <c r="C70" s="14" t="s">
        <v>1</v>
      </c>
      <c r="D70" s="14" t="s">
        <v>36</v>
      </c>
      <c r="E70" s="14"/>
      <c r="F70" s="14" t="s">
        <v>2</v>
      </c>
      <c r="G70" s="14" t="s">
        <v>3</v>
      </c>
      <c r="H70" s="14" t="s">
        <v>37</v>
      </c>
    </row>
    <row r="71" spans="3:9" x14ac:dyDescent="0.25">
      <c r="C71" s="1" t="s">
        <v>7</v>
      </c>
      <c r="D71" s="19"/>
      <c r="E71" s="20"/>
      <c r="F71" s="2">
        <v>320000</v>
      </c>
      <c r="G71" s="1"/>
      <c r="H71" s="2">
        <f>F71</f>
        <v>320000</v>
      </c>
      <c r="I71" t="s">
        <v>38</v>
      </c>
    </row>
    <row r="72" spans="3:9" x14ac:dyDescent="0.25">
      <c r="C72" s="1"/>
      <c r="D72" s="19"/>
      <c r="E72" s="20"/>
      <c r="F72" s="1"/>
      <c r="G72" s="1"/>
      <c r="H72" s="18"/>
    </row>
    <row r="74" spans="3:9" x14ac:dyDescent="0.25">
      <c r="E74" s="4" t="s">
        <v>62</v>
      </c>
      <c r="F74" s="4"/>
    </row>
    <row r="75" spans="3:9" x14ac:dyDescent="0.25">
      <c r="C75" s="14" t="s">
        <v>1</v>
      </c>
      <c r="D75" s="14" t="s">
        <v>36</v>
      </c>
      <c r="E75" s="14"/>
      <c r="F75" s="14" t="s">
        <v>2</v>
      </c>
      <c r="G75" s="14" t="s">
        <v>3</v>
      </c>
      <c r="H75" s="14" t="s">
        <v>37</v>
      </c>
    </row>
    <row r="76" spans="3:9" x14ac:dyDescent="0.25">
      <c r="C76" s="1" t="s">
        <v>10</v>
      </c>
      <c r="D76" s="19"/>
      <c r="E76" s="20"/>
      <c r="F76" s="2">
        <v>75000</v>
      </c>
      <c r="G76" s="1"/>
      <c r="H76" s="2">
        <f>F76</f>
        <v>75000</v>
      </c>
      <c r="I76" t="s">
        <v>38</v>
      </c>
    </row>
    <row r="77" spans="3:9" x14ac:dyDescent="0.25">
      <c r="C77" s="1"/>
      <c r="D77" s="19"/>
      <c r="E77" s="20"/>
      <c r="F77" s="1"/>
      <c r="G77" s="1"/>
      <c r="H77" s="18"/>
    </row>
    <row r="79" spans="3:9" x14ac:dyDescent="0.25">
      <c r="E79" s="4" t="s">
        <v>63</v>
      </c>
      <c r="F79" s="4"/>
    </row>
    <row r="80" spans="3:9" x14ac:dyDescent="0.25">
      <c r="C80" s="14" t="s">
        <v>1</v>
      </c>
      <c r="D80" s="14" t="s">
        <v>36</v>
      </c>
      <c r="E80" s="14"/>
      <c r="F80" s="14" t="s">
        <v>2</v>
      </c>
      <c r="G80" s="14" t="s">
        <v>3</v>
      </c>
      <c r="H80" s="14" t="s">
        <v>37</v>
      </c>
    </row>
    <row r="81" spans="3:9" x14ac:dyDescent="0.25">
      <c r="C81" s="1" t="s">
        <v>11</v>
      </c>
      <c r="D81" s="19"/>
      <c r="E81" s="20"/>
      <c r="F81" s="2">
        <v>25000</v>
      </c>
      <c r="G81" s="1"/>
      <c r="H81" s="2">
        <f>F81</f>
        <v>25000</v>
      </c>
      <c r="I81" t="s">
        <v>38</v>
      </c>
    </row>
    <row r="82" spans="3:9" x14ac:dyDescent="0.25">
      <c r="C82" s="1"/>
      <c r="D82" s="19"/>
      <c r="E82" s="20"/>
      <c r="F82" s="1"/>
      <c r="G82" s="1"/>
      <c r="H82" s="18"/>
    </row>
    <row r="84" spans="3:9" x14ac:dyDescent="0.25">
      <c r="E84" s="4" t="s">
        <v>76</v>
      </c>
      <c r="F84" s="4"/>
    </row>
    <row r="85" spans="3:9" x14ac:dyDescent="0.25">
      <c r="C85" s="14" t="s">
        <v>1</v>
      </c>
      <c r="D85" s="14" t="s">
        <v>36</v>
      </c>
      <c r="E85" s="14"/>
      <c r="F85" s="14" t="s">
        <v>2</v>
      </c>
      <c r="G85" s="14" t="s">
        <v>3</v>
      </c>
      <c r="H85" s="14" t="s">
        <v>37</v>
      </c>
    </row>
    <row r="86" spans="3:9" x14ac:dyDescent="0.25">
      <c r="C86" s="1" t="s">
        <v>11</v>
      </c>
      <c r="D86" s="19"/>
      <c r="E86" s="20"/>
      <c r="G86" s="2">
        <v>15000</v>
      </c>
      <c r="H86" s="2">
        <f>G86</f>
        <v>15000</v>
      </c>
      <c r="I86" t="s">
        <v>38</v>
      </c>
    </row>
    <row r="87" spans="3:9" x14ac:dyDescent="0.25">
      <c r="C87" s="1" t="s">
        <v>30</v>
      </c>
      <c r="D87" s="19"/>
      <c r="E87" s="20"/>
      <c r="F87" s="1"/>
      <c r="G87" s="9">
        <v>450</v>
      </c>
      <c r="H87" s="18">
        <f>H86+G87</f>
        <v>15450</v>
      </c>
    </row>
    <row r="89" spans="3:9" x14ac:dyDescent="0.25">
      <c r="E89" s="4" t="s">
        <v>9</v>
      </c>
      <c r="F89" s="4"/>
    </row>
    <row r="90" spans="3:9" x14ac:dyDescent="0.25">
      <c r="C90" s="14" t="s">
        <v>1</v>
      </c>
      <c r="D90" s="14" t="s">
        <v>36</v>
      </c>
      <c r="E90" s="14"/>
      <c r="F90" s="14" t="s">
        <v>2</v>
      </c>
      <c r="G90" s="14" t="s">
        <v>3</v>
      </c>
      <c r="H90" s="14" t="s">
        <v>37</v>
      </c>
    </row>
    <row r="91" spans="3:9" x14ac:dyDescent="0.25">
      <c r="C91" s="1" t="s">
        <v>11</v>
      </c>
      <c r="D91" s="19"/>
      <c r="E91" s="20"/>
      <c r="G91" s="2">
        <v>15000</v>
      </c>
      <c r="H91" s="2">
        <f>G91</f>
        <v>15000</v>
      </c>
      <c r="I91" t="s">
        <v>38</v>
      </c>
    </row>
    <row r="92" spans="3:9" x14ac:dyDescent="0.25">
      <c r="C92" s="1"/>
      <c r="D92" s="19"/>
      <c r="E92" s="20"/>
      <c r="F92" s="1"/>
      <c r="G92" s="1"/>
      <c r="H92" s="18"/>
    </row>
  </sheetData>
  <mergeCells count="25">
    <mergeCell ref="D91:E91"/>
    <mergeCell ref="D92:E92"/>
    <mergeCell ref="D77:E77"/>
    <mergeCell ref="D81:E81"/>
    <mergeCell ref="D82:E82"/>
    <mergeCell ref="D86:E86"/>
    <mergeCell ref="D87:E87"/>
    <mergeCell ref="D66:E66"/>
    <mergeCell ref="D67:E67"/>
    <mergeCell ref="D71:E71"/>
    <mergeCell ref="D72:E72"/>
    <mergeCell ref="D76:E76"/>
    <mergeCell ref="D56:E56"/>
    <mergeCell ref="D57:E57"/>
    <mergeCell ref="D61:E61"/>
    <mergeCell ref="D62:E62"/>
    <mergeCell ref="C41:G41"/>
    <mergeCell ref="D51:E51"/>
    <mergeCell ref="D52:E52"/>
    <mergeCell ref="D45:E45"/>
    <mergeCell ref="D46:E46"/>
    <mergeCell ref="D47:E47"/>
    <mergeCell ref="D48:E48"/>
    <mergeCell ref="D49:E49"/>
    <mergeCell ref="D5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Room12</dc:creator>
  <cp:lastModifiedBy>lh8 academic</cp:lastModifiedBy>
  <dcterms:created xsi:type="dcterms:W3CDTF">2015-06-05T18:17:20Z</dcterms:created>
  <dcterms:modified xsi:type="dcterms:W3CDTF">2025-03-04T10:04:41Z</dcterms:modified>
</cp:coreProperties>
</file>