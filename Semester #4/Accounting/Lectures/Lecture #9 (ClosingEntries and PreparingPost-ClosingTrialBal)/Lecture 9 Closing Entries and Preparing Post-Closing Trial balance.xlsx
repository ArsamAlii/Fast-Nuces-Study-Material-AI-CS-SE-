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5E803BFC-2C13-4FF3-8927-C7ABA2B003C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tep 7 Closing Entries" sheetId="2" r:id="rId1"/>
    <sheet name="Step 8 Post Closing Trial Bal. " sheetId="3" r:id="rId2"/>
    <sheet name="Sheet1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2" i="2" l="1"/>
  <c r="E73" i="2"/>
  <c r="E69" i="2"/>
  <c r="D68" i="2"/>
  <c r="E65" i="2"/>
  <c r="D64" i="2"/>
  <c r="J49" i="2"/>
  <c r="D24" i="3"/>
  <c r="D25" i="3" s="1"/>
  <c r="C25" i="3"/>
  <c r="I54" i="2"/>
  <c r="I53" i="2"/>
  <c r="J53" i="2"/>
  <c r="D54" i="2"/>
  <c r="E51" i="2"/>
  <c r="D50" i="2"/>
  <c r="B50" i="2"/>
  <c r="C41" i="2"/>
  <c r="D41" i="2"/>
</calcChain>
</file>

<file path=xl/sharedStrings.xml><?xml version="1.0" encoding="utf-8"?>
<sst xmlns="http://schemas.openxmlformats.org/spreadsheetml/2006/main" count="105" uniqueCount="66">
  <si>
    <t>Step 7 Closingentries</t>
  </si>
  <si>
    <t>Closingthe revenue account into   income summary account</t>
  </si>
  <si>
    <t>Date</t>
  </si>
  <si>
    <t>Closing the expense accounts into income summary account</t>
  </si>
  <si>
    <t xml:space="preserve">Closing the inocme summary account into Retained Earning account in case of corporation while in owners equity account in case of sole proprietorship/ partnerhsip </t>
  </si>
  <si>
    <t>closingthe dividend account into retained earning account</t>
  </si>
  <si>
    <t>Closing the drawings account into owners equity account</t>
  </si>
  <si>
    <t>Dividend</t>
  </si>
  <si>
    <t>Supplies</t>
  </si>
  <si>
    <t>Capital Stock</t>
  </si>
  <si>
    <t>Retained Earnings</t>
  </si>
  <si>
    <t>Closing Entries</t>
  </si>
  <si>
    <t>Adjusted Trial Balance</t>
  </si>
  <si>
    <t xml:space="preserve">Cash </t>
  </si>
  <si>
    <t>Notes Receivable</t>
  </si>
  <si>
    <t>Account Receivable</t>
  </si>
  <si>
    <t xml:space="preserve">Land </t>
  </si>
  <si>
    <t>Building</t>
  </si>
  <si>
    <t>Accumulated Depreciation- Building</t>
  </si>
  <si>
    <t>Office Equipment</t>
  </si>
  <si>
    <t>Accumulated Depreciation- Office equipment</t>
  </si>
  <si>
    <t>Notes payable</t>
  </si>
  <si>
    <t>Accounts Payables</t>
  </si>
  <si>
    <t>Consulting Fees Earned</t>
  </si>
  <si>
    <t>Advertising expense</t>
  </si>
  <si>
    <t>Insurance expense</t>
  </si>
  <si>
    <t>Utilities expense</t>
  </si>
  <si>
    <t>Salaries expenses</t>
  </si>
  <si>
    <t>Supplies expense</t>
  </si>
  <si>
    <t>Depreciation expense-Building</t>
  </si>
  <si>
    <t>Depreciation expense-office equipment</t>
  </si>
  <si>
    <t xml:space="preserve">Total </t>
  </si>
  <si>
    <t xml:space="preserve">In case of sole proprietorship or partnership the drawing accounts are closed into owners equity account </t>
  </si>
  <si>
    <t xml:space="preserve">Requirements: </t>
  </si>
  <si>
    <t xml:space="preserve">Accounting Cycle </t>
  </si>
  <si>
    <r>
      <t>•</t>
    </r>
    <r>
      <rPr>
        <sz val="12"/>
        <color rgb="FF000000"/>
        <rFont val="Calibri"/>
        <family val="2"/>
        <scheme val="minor"/>
      </rPr>
      <t xml:space="preserve">Transferring the balances of the temporary accounts into the Retained Earnings account is called the closing process. </t>
    </r>
  </si>
  <si>
    <r>
      <t>•</t>
    </r>
    <r>
      <rPr>
        <i/>
        <sz val="12"/>
        <color rgb="FF00B0F0"/>
        <rFont val="Calibri"/>
        <family val="2"/>
        <scheme val="minor"/>
      </rPr>
      <t xml:space="preserve">The journal entries made for the purpose of closing the temporary accounts are </t>
    </r>
    <r>
      <rPr>
        <i/>
        <sz val="12"/>
        <color rgb="FF000000"/>
        <rFont val="Calibri"/>
        <family val="2"/>
        <scheme val="minor"/>
      </rPr>
      <t xml:space="preserve">called </t>
    </r>
    <r>
      <rPr>
        <b/>
        <i/>
        <sz val="12"/>
        <color rgb="FF000000"/>
        <rFont val="Calibri"/>
        <family val="2"/>
        <scheme val="minor"/>
      </rPr>
      <t>closing  entries</t>
    </r>
    <r>
      <rPr>
        <i/>
        <sz val="12"/>
        <color rgb="FF000000"/>
        <rFont val="Calibri"/>
        <family val="2"/>
        <scheme val="minor"/>
      </rPr>
      <t>.</t>
    </r>
  </si>
  <si>
    <t xml:space="preserve">Environmental Solution Inc. </t>
  </si>
  <si>
    <t>Account Title and Detail</t>
  </si>
  <si>
    <t>Credit</t>
  </si>
  <si>
    <t>Debit</t>
  </si>
  <si>
    <t xml:space="preserve">Here is an example of environmental solution Inc. The adjusted trial balance of the environmental solution Inc. is as follows: </t>
  </si>
  <si>
    <t>Prepare closing entries for a) Revenue, b) expenses, c) Income summary accounts, d) dividend account, and E) Drawings account (suppose that the total drawings are $2000)</t>
  </si>
  <si>
    <t xml:space="preserve">Normally following Five categories of accounts are closed at the end of the each accounting period. </t>
  </si>
  <si>
    <t>Step 8 Post Closing Trial Balance</t>
  </si>
  <si>
    <t>Accounts Name</t>
  </si>
  <si>
    <t>A post closing trial balance is prepared after closing entries. This is a step toward checking the debit and credit balances are still equal or not.</t>
  </si>
  <si>
    <t xml:space="preserve">The post closing trial balance of the previous example is as follows: </t>
  </si>
  <si>
    <t>Temporary accounts</t>
  </si>
  <si>
    <t>Dec. 31</t>
  </si>
  <si>
    <t xml:space="preserve">Income summary </t>
  </si>
  <si>
    <t>(To close the consulting fee earned)</t>
  </si>
  <si>
    <t>Income Summary</t>
  </si>
  <si>
    <t>(To close expense accounts)</t>
  </si>
  <si>
    <t>Income summary</t>
  </si>
  <si>
    <t xml:space="preserve">Credit Balance </t>
  </si>
  <si>
    <t>(To close the income summary account)</t>
  </si>
  <si>
    <t>Retained Earningf</t>
  </si>
  <si>
    <t>(To close the dividend account)</t>
  </si>
  <si>
    <t>Owners equity</t>
  </si>
  <si>
    <t>Drawing</t>
  </si>
  <si>
    <t>(To close the drawing account)</t>
  </si>
  <si>
    <t>Post Closing Trial Balance</t>
  </si>
  <si>
    <t>You have to use ending R.E, the one provided in the adjusted trail balance is beginning R.E</t>
  </si>
  <si>
    <t>The credit balance of the income summary shows net profit means revenue is greateer than expense</t>
  </si>
  <si>
    <t>Drawings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</si>
</sst>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u val="double"/>
      <sz val="12"/>
      <color theme="1"/>
      <name val="Times New Roman"/>
      <family val="1"/>
    </font>
    <font>
      <sz val="16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Calibri"/>
      <family val="2"/>
      <scheme val="minor"/>
    </font>
    <font>
      <i/>
      <sz val="12"/>
      <color rgb="FF00B0F0"/>
      <name val="Calibri"/>
      <family val="2"/>
      <scheme val="minor"/>
    </font>
    <font>
      <i/>
      <sz val="12"/>
      <color rgb="FF000000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0" xfId="0" applyFont="1" applyFill="1"/>
    <xf numFmtId="0" fontId="0" fillId="0" borderId="1" xfId="0" applyBorder="1"/>
    <xf numFmtId="0" fontId="1" fillId="0" borderId="0" xfId="0" applyFont="1"/>
    <xf numFmtId="0" fontId="0" fillId="0" borderId="2" xfId="0" applyBorder="1"/>
    <xf numFmtId="15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44" fontId="2" fillId="0" borderId="1" xfId="0" applyNumberFormat="1" applyFont="1" applyBorder="1" applyAlignment="1">
      <alignment vertical="center" wrapText="1"/>
    </xf>
    <xf numFmtId="44" fontId="4" fillId="0" borderId="1" xfId="0" applyNumberFormat="1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3" borderId="0" xfId="0" applyFont="1" applyFill="1"/>
    <xf numFmtId="0" fontId="6" fillId="0" borderId="0" xfId="0" applyFont="1" applyAlignment="1">
      <alignment horizontal="justify" vertical="center" readingOrder="1"/>
    </xf>
    <xf numFmtId="0" fontId="1" fillId="0" borderId="1" xfId="0" applyFont="1" applyBorder="1"/>
    <xf numFmtId="44" fontId="0" fillId="0" borderId="1" xfId="0" applyNumberFormat="1" applyBorder="1"/>
    <xf numFmtId="0" fontId="2" fillId="0" borderId="1" xfId="0" applyFont="1" applyBorder="1" applyAlignment="1">
      <alignment vertical="center" wrapText="1"/>
    </xf>
    <xf numFmtId="44" fontId="0" fillId="0" borderId="0" xfId="0" applyNumberFormat="1"/>
    <xf numFmtId="0" fontId="13" fillId="0" borderId="0" xfId="0" applyFont="1"/>
    <xf numFmtId="0" fontId="0" fillId="0" borderId="6" xfId="0" applyBorder="1"/>
    <xf numFmtId="0" fontId="0" fillId="3" borderId="0" xfId="0" applyFill="1"/>
    <xf numFmtId="0" fontId="0" fillId="2" borderId="0" xfId="0" applyFill="1"/>
    <xf numFmtId="44" fontId="2" fillId="2" borderId="1" xfId="0" applyNumberFormat="1" applyFont="1" applyFill="1" applyBorder="1" applyAlignment="1">
      <alignment vertical="center" wrapText="1"/>
    </xf>
    <xf numFmtId="0" fontId="0" fillId="0" borderId="7" xfId="0" applyBorder="1"/>
    <xf numFmtId="0" fontId="0" fillId="0" borderId="9" xfId="0" applyBorder="1"/>
    <xf numFmtId="44" fontId="0" fillId="0" borderId="8" xfId="0" applyNumberFormat="1" applyBorder="1"/>
    <xf numFmtId="44" fontId="0" fillId="0" borderId="9" xfId="0" applyNumberFormat="1" applyBorder="1"/>
    <xf numFmtId="0" fontId="3" fillId="0" borderId="1" xfId="0" applyFont="1" applyBorder="1" applyAlignment="1">
      <alignment horizontal="center" vertical="center" wrapText="1"/>
    </xf>
    <xf numFmtId="15" fontId="3" fillId="0" borderId="1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1" fillId="0" borderId="0" xfId="0" applyFont="1" applyAlignment="1">
      <alignment horizontal="center" wrapText="1"/>
    </xf>
    <xf numFmtId="0" fontId="12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15" fontId="3" fillId="0" borderId="0" xfId="0" applyNumberFormat="1" applyFont="1" applyAlignment="1">
      <alignment horizontal="center" vertical="center" wrapText="1"/>
    </xf>
    <xf numFmtId="0" fontId="0" fillId="0" borderId="0" xfId="0" applyFont="1"/>
    <xf numFmtId="0" fontId="11" fillId="3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254000</xdr:colOff>
      <xdr:row>48</xdr:row>
      <xdr:rowOff>63500</xdr:rowOff>
    </xdr:from>
    <xdr:to>
      <xdr:col>11</xdr:col>
      <xdr:colOff>814917</xdr:colOff>
      <xdr:row>48</xdr:row>
      <xdr:rowOff>74084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80A98BC7-520D-1FF5-D53B-8C9022C1DE73}"/>
            </a:ext>
          </a:extLst>
        </xdr:cNvPr>
        <xdr:cNvCxnSpPr/>
      </xdr:nvCxnSpPr>
      <xdr:spPr>
        <a:xfrm>
          <a:off x="10911417" y="11980333"/>
          <a:ext cx="1397000" cy="1058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EB750-C817-4888-985E-3B1039F98E5E}">
  <dimension ref="A1:N77"/>
  <sheetViews>
    <sheetView tabSelected="1" topLeftCell="A40" zoomScale="90" zoomScaleNormal="90" workbookViewId="0">
      <selection activeCell="H61" sqref="H61"/>
    </sheetView>
  </sheetViews>
  <sheetFormatPr defaultRowHeight="15" x14ac:dyDescent="0.25"/>
  <cols>
    <col min="2" max="2" width="24.42578125" customWidth="1"/>
    <col min="3" max="3" width="24.5703125" customWidth="1"/>
    <col min="4" max="4" width="21.140625" customWidth="1"/>
    <col min="5" max="5" width="19.85546875" customWidth="1"/>
    <col min="8" max="8" width="12.5703125" bestFit="1" customWidth="1"/>
    <col min="9" max="9" width="16.28515625" bestFit="1" customWidth="1"/>
    <col min="10" max="10" width="13.28515625" bestFit="1" customWidth="1"/>
    <col min="11" max="12" width="12.5703125" bestFit="1" customWidth="1"/>
  </cols>
  <sheetData>
    <row r="1" spans="1:8" ht="21" x14ac:dyDescent="0.35">
      <c r="B1" s="10" t="s">
        <v>34</v>
      </c>
    </row>
    <row r="2" spans="1:8" x14ac:dyDescent="0.25">
      <c r="B2" s="1" t="s">
        <v>0</v>
      </c>
      <c r="C2" s="3"/>
      <c r="D2" s="3"/>
    </row>
    <row r="3" spans="1:8" ht="94.5" x14ac:dyDescent="0.25">
      <c r="B3" s="11" t="s">
        <v>35</v>
      </c>
    </row>
    <row r="5" spans="1:8" ht="78.75" x14ac:dyDescent="0.25">
      <c r="B5" s="11" t="s">
        <v>36</v>
      </c>
    </row>
    <row r="6" spans="1:8" ht="22.5" customHeight="1" x14ac:dyDescent="0.25">
      <c r="B6" t="s">
        <v>43</v>
      </c>
    </row>
    <row r="7" spans="1:8" ht="27.75" customHeight="1" x14ac:dyDescent="0.25">
      <c r="A7">
        <v>1</v>
      </c>
      <c r="B7" t="s">
        <v>1</v>
      </c>
    </row>
    <row r="8" spans="1:8" ht="18.75" customHeight="1" x14ac:dyDescent="0.25">
      <c r="A8">
        <v>2</v>
      </c>
      <c r="B8" t="s">
        <v>3</v>
      </c>
    </row>
    <row r="9" spans="1:8" ht="18.75" customHeight="1" x14ac:dyDescent="0.25">
      <c r="A9">
        <v>3</v>
      </c>
      <c r="B9" t="s">
        <v>4</v>
      </c>
    </row>
    <row r="10" spans="1:8" ht="18.75" customHeight="1" x14ac:dyDescent="0.25">
      <c r="A10">
        <v>4</v>
      </c>
      <c r="B10" t="s">
        <v>5</v>
      </c>
    </row>
    <row r="11" spans="1:8" ht="18.75" customHeight="1" x14ac:dyDescent="0.25">
      <c r="A11" s="3">
        <v>5</v>
      </c>
      <c r="B11" s="3" t="s">
        <v>6</v>
      </c>
      <c r="C11" s="3"/>
      <c r="D11" s="3"/>
      <c r="E11" s="3"/>
      <c r="F11" s="3"/>
      <c r="G11" s="3"/>
      <c r="H11" s="3"/>
    </row>
    <row r="12" spans="1:8" ht="18.75" customHeight="1" x14ac:dyDescent="0.25">
      <c r="B12" t="s">
        <v>32</v>
      </c>
    </row>
    <row r="13" spans="1:8" ht="18.75" customHeight="1" x14ac:dyDescent="0.25"/>
    <row r="14" spans="1:8" ht="15.75" customHeight="1" x14ac:dyDescent="0.25">
      <c r="B14" t="s">
        <v>41</v>
      </c>
    </row>
    <row r="15" spans="1:8" ht="15.75" customHeight="1" x14ac:dyDescent="0.3">
      <c r="B15" s="27" t="s">
        <v>37</v>
      </c>
      <c r="C15" s="28"/>
      <c r="D15" s="29"/>
    </row>
    <row r="16" spans="1:8" ht="15.75" customHeight="1" x14ac:dyDescent="0.25">
      <c r="B16" s="25" t="s">
        <v>12</v>
      </c>
      <c r="C16" s="25"/>
      <c r="D16" s="25"/>
    </row>
    <row r="17" spans="2:4" ht="15.75" customHeight="1" x14ac:dyDescent="0.25">
      <c r="B17" s="26">
        <v>45657</v>
      </c>
      <c r="C17" s="26"/>
      <c r="D17" s="26"/>
    </row>
    <row r="18" spans="2:4" ht="15.75" customHeight="1" x14ac:dyDescent="0.25">
      <c r="B18" s="5" t="s">
        <v>45</v>
      </c>
      <c r="C18" s="5" t="s">
        <v>40</v>
      </c>
      <c r="D18" s="5" t="s">
        <v>39</v>
      </c>
    </row>
    <row r="19" spans="2:4" ht="15.75" customHeight="1" x14ac:dyDescent="0.25">
      <c r="B19" s="6" t="s">
        <v>13</v>
      </c>
      <c r="C19" s="7">
        <v>42750</v>
      </c>
      <c r="D19" s="7"/>
    </row>
    <row r="20" spans="2:4" ht="15.75" customHeight="1" x14ac:dyDescent="0.25">
      <c r="B20" s="6" t="s">
        <v>14</v>
      </c>
      <c r="C20" s="7">
        <v>12740</v>
      </c>
      <c r="D20" s="7"/>
    </row>
    <row r="21" spans="2:4" ht="15.75" customHeight="1" x14ac:dyDescent="0.25">
      <c r="B21" s="6" t="s">
        <v>15</v>
      </c>
      <c r="C21" s="7">
        <v>65090</v>
      </c>
      <c r="D21" s="7"/>
    </row>
    <row r="22" spans="2:4" ht="15.75" customHeight="1" x14ac:dyDescent="0.25">
      <c r="B22" s="6" t="s">
        <v>8</v>
      </c>
      <c r="C22" s="7">
        <v>5300</v>
      </c>
      <c r="D22" s="7"/>
    </row>
    <row r="23" spans="2:4" ht="15.75" customHeight="1" x14ac:dyDescent="0.25">
      <c r="B23" s="6" t="s">
        <v>16</v>
      </c>
      <c r="C23" s="7">
        <v>196000</v>
      </c>
      <c r="D23" s="7"/>
    </row>
    <row r="24" spans="2:4" ht="15.75" customHeight="1" x14ac:dyDescent="0.25">
      <c r="B24" s="6" t="s">
        <v>17</v>
      </c>
      <c r="C24" s="7">
        <v>126000</v>
      </c>
      <c r="D24" s="7"/>
    </row>
    <row r="25" spans="2:4" ht="15.75" customHeight="1" x14ac:dyDescent="0.25">
      <c r="B25" s="6" t="s">
        <v>18</v>
      </c>
      <c r="C25" s="7"/>
      <c r="D25" s="7">
        <v>33600</v>
      </c>
    </row>
    <row r="26" spans="2:4" ht="15.75" customHeight="1" x14ac:dyDescent="0.25">
      <c r="B26" s="6" t="s">
        <v>19</v>
      </c>
      <c r="C26" s="7">
        <v>33600</v>
      </c>
      <c r="D26" s="7"/>
    </row>
    <row r="27" spans="2:4" ht="15.75" customHeight="1" x14ac:dyDescent="0.25">
      <c r="B27" s="6" t="s">
        <v>20</v>
      </c>
      <c r="C27" s="7"/>
      <c r="D27" s="7">
        <v>13440</v>
      </c>
    </row>
    <row r="28" spans="2:4" ht="15.75" customHeight="1" x14ac:dyDescent="0.25">
      <c r="B28" s="6" t="s">
        <v>21</v>
      </c>
      <c r="C28" s="7"/>
      <c r="D28" s="7">
        <v>112000</v>
      </c>
    </row>
    <row r="29" spans="2:4" ht="15.75" customHeight="1" x14ac:dyDescent="0.25">
      <c r="B29" s="6" t="s">
        <v>22</v>
      </c>
      <c r="C29" s="7"/>
      <c r="D29" s="7">
        <v>22680</v>
      </c>
    </row>
    <row r="30" spans="2:4" ht="15.75" customHeight="1" x14ac:dyDescent="0.25">
      <c r="B30" s="6" t="s">
        <v>9</v>
      </c>
      <c r="C30" s="7"/>
      <c r="D30" s="7">
        <v>150300</v>
      </c>
    </row>
    <row r="31" spans="2:4" ht="15.75" customHeight="1" x14ac:dyDescent="0.25">
      <c r="B31" s="6" t="s">
        <v>10</v>
      </c>
      <c r="C31" s="7"/>
      <c r="D31" s="7">
        <v>80000</v>
      </c>
    </row>
    <row r="32" spans="2:4" ht="15.75" customHeight="1" x14ac:dyDescent="0.25">
      <c r="B32" s="6" t="s">
        <v>7</v>
      </c>
      <c r="C32" s="20">
        <v>70000</v>
      </c>
      <c r="D32" s="20"/>
    </row>
    <row r="33" spans="1:10" ht="15.75" customHeight="1" x14ac:dyDescent="0.25">
      <c r="B33" s="6" t="s">
        <v>23</v>
      </c>
      <c r="C33" s="20"/>
      <c r="D33" s="20">
        <v>487200</v>
      </c>
    </row>
    <row r="34" spans="1:10" ht="15.75" customHeight="1" x14ac:dyDescent="0.25">
      <c r="B34" s="6" t="s">
        <v>24</v>
      </c>
      <c r="C34" s="20">
        <v>31500</v>
      </c>
      <c r="D34" s="20"/>
      <c r="E34" t="s">
        <v>48</v>
      </c>
    </row>
    <row r="35" spans="1:10" ht="15.75" customHeight="1" x14ac:dyDescent="0.25">
      <c r="B35" s="6" t="s">
        <v>25</v>
      </c>
      <c r="C35" s="20">
        <v>38720</v>
      </c>
      <c r="D35" s="20"/>
    </row>
    <row r="36" spans="1:10" ht="15.75" customHeight="1" x14ac:dyDescent="0.25">
      <c r="B36" s="6" t="s">
        <v>26</v>
      </c>
      <c r="C36" s="20">
        <v>15040</v>
      </c>
      <c r="D36" s="20"/>
    </row>
    <row r="37" spans="1:10" ht="15.75" customHeight="1" x14ac:dyDescent="0.25">
      <c r="B37" s="6" t="s">
        <v>27</v>
      </c>
      <c r="C37" s="20">
        <v>245280</v>
      </c>
      <c r="D37" s="20"/>
    </row>
    <row r="38" spans="1:10" ht="15.75" customHeight="1" x14ac:dyDescent="0.25">
      <c r="B38" s="6" t="s">
        <v>28</v>
      </c>
      <c r="C38" s="20">
        <v>9640</v>
      </c>
      <c r="D38" s="20"/>
    </row>
    <row r="39" spans="1:10" ht="15.75" customHeight="1" x14ac:dyDescent="0.25">
      <c r="B39" s="6" t="s">
        <v>29</v>
      </c>
      <c r="C39" s="20">
        <v>4200</v>
      </c>
      <c r="D39" s="20"/>
    </row>
    <row r="40" spans="1:10" ht="15.75" x14ac:dyDescent="0.25">
      <c r="B40" s="6" t="s">
        <v>30</v>
      </c>
      <c r="C40" s="20">
        <v>3360</v>
      </c>
      <c r="D40" s="20"/>
    </row>
    <row r="41" spans="1:10" ht="15.75" x14ac:dyDescent="0.25">
      <c r="B41" s="6" t="s">
        <v>31</v>
      </c>
      <c r="C41" s="8">
        <f>SUM(C19:C40)</f>
        <v>899220</v>
      </c>
      <c r="D41" s="8">
        <f>SUM(D25:D33)</f>
        <v>899220</v>
      </c>
    </row>
    <row r="43" spans="1:10" ht="15.75" x14ac:dyDescent="0.25">
      <c r="B43" s="9" t="s">
        <v>33</v>
      </c>
    </row>
    <row r="44" spans="1:10" x14ac:dyDescent="0.25">
      <c r="B44" t="s">
        <v>42</v>
      </c>
    </row>
    <row r="45" spans="1:10" x14ac:dyDescent="0.25">
      <c r="I45" t="s">
        <v>65</v>
      </c>
      <c r="J45" s="15">
        <v>2000</v>
      </c>
    </row>
    <row r="46" spans="1:10" ht="18.75" x14ac:dyDescent="0.3">
      <c r="B46" s="37" t="s">
        <v>37</v>
      </c>
      <c r="C46" s="38"/>
    </row>
    <row r="47" spans="1:10" ht="18.75" x14ac:dyDescent="0.3">
      <c r="B47" s="37" t="s">
        <v>11</v>
      </c>
      <c r="C47" s="38"/>
    </row>
    <row r="48" spans="1:10" x14ac:dyDescent="0.25">
      <c r="A48" s="12" t="s">
        <v>2</v>
      </c>
      <c r="B48" s="30" t="s">
        <v>38</v>
      </c>
      <c r="C48" s="31"/>
      <c r="D48" s="12" t="s">
        <v>40</v>
      </c>
      <c r="E48" s="12" t="s">
        <v>39</v>
      </c>
    </row>
    <row r="49" spans="1:14" x14ac:dyDescent="0.25">
      <c r="A49" s="2">
        <v>2024</v>
      </c>
      <c r="B49" s="2"/>
      <c r="C49" s="2"/>
      <c r="D49" s="2"/>
      <c r="E49" s="2"/>
      <c r="I49" t="s">
        <v>55</v>
      </c>
      <c r="J49" s="15">
        <f>J53-I53</f>
        <v>139460</v>
      </c>
      <c r="M49" t="s">
        <v>64</v>
      </c>
    </row>
    <row r="50" spans="1:14" x14ac:dyDescent="0.25">
      <c r="A50" s="2" t="s">
        <v>49</v>
      </c>
      <c r="B50" s="2" t="str">
        <f>B33</f>
        <v>Consulting Fees Earned</v>
      </c>
      <c r="C50" s="2"/>
      <c r="D50" s="13">
        <f>D33</f>
        <v>487200</v>
      </c>
      <c r="E50" s="2"/>
    </row>
    <row r="51" spans="1:14" x14ac:dyDescent="0.25">
      <c r="A51" s="2"/>
      <c r="C51" s="2" t="s">
        <v>50</v>
      </c>
      <c r="D51" s="2"/>
      <c r="E51" s="13">
        <f>D50</f>
        <v>487200</v>
      </c>
    </row>
    <row r="52" spans="1:14" x14ac:dyDescent="0.25">
      <c r="A52" s="2"/>
      <c r="B52" s="2" t="s">
        <v>51</v>
      </c>
      <c r="C52" s="2"/>
      <c r="D52" s="2"/>
      <c r="E52" s="2"/>
      <c r="H52" s="21"/>
      <c r="I52" s="21" t="s">
        <v>54</v>
      </c>
      <c r="J52" s="21"/>
      <c r="K52" s="21"/>
    </row>
    <row r="53" spans="1:14" x14ac:dyDescent="0.25">
      <c r="B53" s="2"/>
      <c r="C53" s="2"/>
      <c r="D53" s="2"/>
      <c r="E53" s="2"/>
      <c r="H53" t="s">
        <v>49</v>
      </c>
      <c r="I53" s="23">
        <f>D54</f>
        <v>347740</v>
      </c>
      <c r="J53" s="15">
        <f>E51</f>
        <v>487200</v>
      </c>
      <c r="K53" s="36" t="s">
        <v>49</v>
      </c>
      <c r="L53" s="16"/>
      <c r="M53" s="16"/>
      <c r="N53" s="16"/>
    </row>
    <row r="54" spans="1:14" x14ac:dyDescent="0.25">
      <c r="A54" s="2" t="s">
        <v>49</v>
      </c>
      <c r="B54" s="2" t="s">
        <v>52</v>
      </c>
      <c r="C54" s="2"/>
      <c r="D54" s="13">
        <f>SUM(E55:E61)</f>
        <v>347740</v>
      </c>
      <c r="E54" s="2"/>
      <c r="H54" t="s">
        <v>49</v>
      </c>
      <c r="I54" s="24">
        <f>D64</f>
        <v>139460</v>
      </c>
      <c r="K54" s="15"/>
      <c r="L54" s="15"/>
    </row>
    <row r="55" spans="1:14" ht="15.75" x14ac:dyDescent="0.25">
      <c r="A55" s="2"/>
      <c r="B55" s="2"/>
      <c r="C55" s="14" t="s">
        <v>24</v>
      </c>
      <c r="D55" s="2"/>
      <c r="E55" s="7">
        <v>31500</v>
      </c>
      <c r="I55" s="22"/>
    </row>
    <row r="56" spans="1:14" ht="15.75" x14ac:dyDescent="0.25">
      <c r="A56" s="2"/>
      <c r="B56" s="2"/>
      <c r="C56" s="14" t="s">
        <v>25</v>
      </c>
      <c r="D56" s="2"/>
      <c r="E56" s="7">
        <v>38720</v>
      </c>
      <c r="I56" s="22"/>
    </row>
    <row r="57" spans="1:14" ht="15.75" x14ac:dyDescent="0.25">
      <c r="A57" s="2"/>
      <c r="B57" s="2"/>
      <c r="C57" s="14" t="s">
        <v>26</v>
      </c>
      <c r="D57" s="2"/>
      <c r="E57" s="7">
        <v>15040</v>
      </c>
      <c r="I57" s="22"/>
    </row>
    <row r="58" spans="1:14" ht="15.75" x14ac:dyDescent="0.25">
      <c r="A58" s="2"/>
      <c r="B58" s="2"/>
      <c r="C58" s="14" t="s">
        <v>27</v>
      </c>
      <c r="D58" s="2"/>
      <c r="E58" s="7">
        <v>245280</v>
      </c>
      <c r="I58" s="22"/>
    </row>
    <row r="59" spans="1:14" ht="15.75" x14ac:dyDescent="0.25">
      <c r="A59" s="2"/>
      <c r="B59" s="2"/>
      <c r="C59" s="14" t="s">
        <v>28</v>
      </c>
      <c r="D59" s="2"/>
      <c r="E59" s="7">
        <v>9640</v>
      </c>
      <c r="I59" s="22"/>
    </row>
    <row r="60" spans="1:14" ht="31.5" x14ac:dyDescent="0.25">
      <c r="A60" s="2"/>
      <c r="B60" s="2"/>
      <c r="C60" s="14" t="s">
        <v>29</v>
      </c>
      <c r="D60" s="2"/>
      <c r="E60" s="7">
        <v>4200</v>
      </c>
      <c r="I60" s="22"/>
      <c r="J60" s="15"/>
    </row>
    <row r="61" spans="1:14" ht="31.5" x14ac:dyDescent="0.25">
      <c r="A61" s="2"/>
      <c r="B61" s="2"/>
      <c r="C61" s="14" t="s">
        <v>30</v>
      </c>
      <c r="D61" s="2"/>
      <c r="E61" s="7">
        <v>3360</v>
      </c>
      <c r="I61" s="15"/>
    </row>
    <row r="62" spans="1:14" x14ac:dyDescent="0.25">
      <c r="A62" s="2"/>
      <c r="B62" s="2" t="s">
        <v>53</v>
      </c>
      <c r="C62" s="2"/>
      <c r="D62" s="2"/>
      <c r="E62" s="2"/>
      <c r="I62" s="15"/>
    </row>
    <row r="63" spans="1:14" x14ac:dyDescent="0.25">
      <c r="A63" s="2"/>
      <c r="B63" s="2"/>
      <c r="C63" s="2"/>
      <c r="D63" s="2"/>
      <c r="E63" s="2"/>
      <c r="H63" s="15"/>
    </row>
    <row r="64" spans="1:14" x14ac:dyDescent="0.25">
      <c r="A64" s="2" t="s">
        <v>49</v>
      </c>
      <c r="B64" s="2" t="s">
        <v>54</v>
      </c>
      <c r="C64" s="2"/>
      <c r="D64" s="13">
        <f>J49</f>
        <v>139460</v>
      </c>
      <c r="E64" s="2"/>
    </row>
    <row r="65" spans="1:5" x14ac:dyDescent="0.25">
      <c r="A65" s="2"/>
      <c r="B65" s="2"/>
      <c r="C65" s="2" t="s">
        <v>10</v>
      </c>
      <c r="D65" s="2"/>
      <c r="E65" s="13">
        <f>D64</f>
        <v>139460</v>
      </c>
    </row>
    <row r="66" spans="1:5" x14ac:dyDescent="0.25">
      <c r="A66" s="2"/>
      <c r="B66" s="2" t="s">
        <v>56</v>
      </c>
      <c r="C66" s="2"/>
      <c r="D66" s="2"/>
      <c r="E66" s="2"/>
    </row>
    <row r="67" spans="1:5" x14ac:dyDescent="0.25">
      <c r="A67" s="2"/>
      <c r="B67" s="2"/>
      <c r="C67" s="2"/>
      <c r="D67" s="2"/>
      <c r="E67" s="2"/>
    </row>
    <row r="68" spans="1:5" x14ac:dyDescent="0.25">
      <c r="A68" s="2" t="s">
        <v>49</v>
      </c>
      <c r="B68" s="2" t="s">
        <v>57</v>
      </c>
      <c r="C68" s="2"/>
      <c r="D68" s="13">
        <f>C32</f>
        <v>70000</v>
      </c>
      <c r="E68" s="2"/>
    </row>
    <row r="69" spans="1:5" x14ac:dyDescent="0.25">
      <c r="A69" s="2"/>
      <c r="B69" s="2"/>
      <c r="C69" s="2" t="s">
        <v>7</v>
      </c>
      <c r="D69" s="2"/>
      <c r="E69" s="13">
        <f>D68</f>
        <v>70000</v>
      </c>
    </row>
    <row r="70" spans="1:5" x14ac:dyDescent="0.25">
      <c r="A70" s="2"/>
      <c r="B70" s="2" t="s">
        <v>58</v>
      </c>
      <c r="C70" s="2"/>
      <c r="D70" s="2"/>
      <c r="E70" s="2"/>
    </row>
    <row r="71" spans="1:5" x14ac:dyDescent="0.25">
      <c r="A71" s="2"/>
      <c r="B71" s="2"/>
      <c r="C71" s="2"/>
      <c r="D71" s="2"/>
      <c r="E71" s="2"/>
    </row>
    <row r="72" spans="1:5" x14ac:dyDescent="0.25">
      <c r="A72" s="2" t="s">
        <v>49</v>
      </c>
      <c r="B72" s="2" t="s">
        <v>59</v>
      </c>
      <c r="C72" s="2"/>
      <c r="D72" s="13">
        <f>E73</f>
        <v>2000</v>
      </c>
      <c r="E72" s="13"/>
    </row>
    <row r="73" spans="1:5" x14ac:dyDescent="0.25">
      <c r="A73" s="2"/>
      <c r="B73" s="2"/>
      <c r="C73" s="2" t="s">
        <v>60</v>
      </c>
      <c r="D73" s="13"/>
      <c r="E73" s="13">
        <f>J45</f>
        <v>2000</v>
      </c>
    </row>
    <row r="74" spans="1:5" x14ac:dyDescent="0.25">
      <c r="A74" s="2"/>
      <c r="B74" s="2" t="s">
        <v>61</v>
      </c>
      <c r="C74" s="2"/>
      <c r="D74" s="2"/>
      <c r="E74" s="2"/>
    </row>
    <row r="75" spans="1:5" x14ac:dyDescent="0.25">
      <c r="A75" s="2"/>
      <c r="B75" s="2"/>
      <c r="C75" s="2"/>
      <c r="D75" s="2"/>
      <c r="E75" s="2"/>
    </row>
    <row r="76" spans="1:5" x14ac:dyDescent="0.25">
      <c r="A76" s="4"/>
      <c r="B76" s="4"/>
      <c r="C76" s="4"/>
      <c r="D76" s="4"/>
      <c r="E76" s="4"/>
    </row>
    <row r="77" spans="1:5" x14ac:dyDescent="0.25">
      <c r="A77" s="17"/>
      <c r="B77" s="17"/>
      <c r="C77" s="17"/>
      <c r="D77" s="17"/>
      <c r="E77" s="17"/>
    </row>
  </sheetData>
  <mergeCells count="4">
    <mergeCell ref="B16:D16"/>
    <mergeCell ref="B17:D17"/>
    <mergeCell ref="B15:D15"/>
    <mergeCell ref="B48:C48"/>
  </mergeCells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63DF0-2D4E-46A7-A1C2-9FC504A2B00C}">
  <dimension ref="B2:E25"/>
  <sheetViews>
    <sheetView topLeftCell="A7" workbookViewId="0">
      <selection activeCell="E24" sqref="E24"/>
    </sheetView>
  </sheetViews>
  <sheetFormatPr defaultRowHeight="15" x14ac:dyDescent="0.25"/>
  <cols>
    <col min="2" max="2" width="40.140625" customWidth="1"/>
    <col min="3" max="3" width="26.140625" customWidth="1"/>
    <col min="4" max="4" width="20.42578125" customWidth="1"/>
  </cols>
  <sheetData>
    <row r="2" spans="2:4" ht="21" x14ac:dyDescent="0.35">
      <c r="B2" s="10" t="s">
        <v>34</v>
      </c>
      <c r="C2" s="18"/>
      <c r="D2" s="18"/>
    </row>
    <row r="3" spans="2:4" x14ac:dyDescent="0.25">
      <c r="B3" s="1" t="s">
        <v>44</v>
      </c>
      <c r="C3" s="19"/>
      <c r="D3" s="19"/>
    </row>
    <row r="5" spans="2:4" ht="40.5" customHeight="1" x14ac:dyDescent="0.3">
      <c r="B5" s="32" t="s">
        <v>46</v>
      </c>
      <c r="C5" s="33"/>
      <c r="D5" s="33"/>
    </row>
    <row r="6" spans="2:4" ht="18.75" customHeight="1" x14ac:dyDescent="0.25">
      <c r="B6" s="34" t="s">
        <v>47</v>
      </c>
      <c r="C6" s="34"/>
      <c r="D6" s="34"/>
    </row>
    <row r="7" spans="2:4" ht="15.75" x14ac:dyDescent="0.25">
      <c r="B7" s="35"/>
      <c r="C7" s="35"/>
      <c r="D7" s="35"/>
    </row>
    <row r="8" spans="2:4" ht="18.75" x14ac:dyDescent="0.3">
      <c r="B8" s="27" t="s">
        <v>37</v>
      </c>
      <c r="C8" s="28"/>
      <c r="D8" s="29"/>
    </row>
    <row r="9" spans="2:4" ht="23.25" customHeight="1" x14ac:dyDescent="0.25">
      <c r="B9" s="25" t="s">
        <v>62</v>
      </c>
      <c r="C9" s="25"/>
      <c r="D9" s="25"/>
    </row>
    <row r="10" spans="2:4" ht="23.25" customHeight="1" x14ac:dyDescent="0.25">
      <c r="B10" s="26">
        <v>45657</v>
      </c>
      <c r="C10" s="26"/>
      <c r="D10" s="26"/>
    </row>
    <row r="11" spans="2:4" ht="23.25" customHeight="1" x14ac:dyDescent="0.25">
      <c r="B11" s="5" t="s">
        <v>45</v>
      </c>
      <c r="C11" s="5" t="s">
        <v>40</v>
      </c>
      <c r="D11" s="5" t="s">
        <v>39</v>
      </c>
    </row>
    <row r="12" spans="2:4" ht="23.25" customHeight="1" x14ac:dyDescent="0.25">
      <c r="B12" s="6" t="s">
        <v>13</v>
      </c>
      <c r="C12" s="7">
        <v>42750</v>
      </c>
      <c r="D12" s="7"/>
    </row>
    <row r="13" spans="2:4" ht="23.25" customHeight="1" x14ac:dyDescent="0.25">
      <c r="B13" s="6" t="s">
        <v>14</v>
      </c>
      <c r="C13" s="7">
        <v>12740</v>
      </c>
      <c r="D13" s="7"/>
    </row>
    <row r="14" spans="2:4" ht="23.25" customHeight="1" x14ac:dyDescent="0.25">
      <c r="B14" s="6" t="s">
        <v>15</v>
      </c>
      <c r="C14" s="7">
        <v>65090</v>
      </c>
      <c r="D14" s="7"/>
    </row>
    <row r="15" spans="2:4" ht="23.25" customHeight="1" x14ac:dyDescent="0.25">
      <c r="B15" s="6" t="s">
        <v>8</v>
      </c>
      <c r="C15" s="7">
        <v>5300</v>
      </c>
      <c r="D15" s="7"/>
    </row>
    <row r="16" spans="2:4" ht="23.25" customHeight="1" x14ac:dyDescent="0.25">
      <c r="B16" s="6" t="s">
        <v>16</v>
      </c>
      <c r="C16" s="7">
        <v>196000</v>
      </c>
      <c r="D16" s="7"/>
    </row>
    <row r="17" spans="2:5" ht="23.25" customHeight="1" x14ac:dyDescent="0.25">
      <c r="B17" s="6" t="s">
        <v>17</v>
      </c>
      <c r="C17" s="7">
        <v>126000</v>
      </c>
      <c r="D17" s="7"/>
    </row>
    <row r="18" spans="2:5" ht="23.25" customHeight="1" x14ac:dyDescent="0.25">
      <c r="B18" s="6" t="s">
        <v>18</v>
      </c>
      <c r="C18" s="7"/>
      <c r="D18" s="7">
        <v>33600</v>
      </c>
    </row>
    <row r="19" spans="2:5" ht="23.25" customHeight="1" x14ac:dyDescent="0.25">
      <c r="B19" s="6" t="s">
        <v>19</v>
      </c>
      <c r="C19" s="7">
        <v>33600</v>
      </c>
      <c r="D19" s="7"/>
    </row>
    <row r="20" spans="2:5" ht="30.75" customHeight="1" x14ac:dyDescent="0.25">
      <c r="B20" s="6" t="s">
        <v>20</v>
      </c>
      <c r="C20" s="7"/>
      <c r="D20" s="7">
        <v>13440</v>
      </c>
    </row>
    <row r="21" spans="2:5" ht="23.25" customHeight="1" x14ac:dyDescent="0.25">
      <c r="B21" s="6" t="s">
        <v>21</v>
      </c>
      <c r="C21" s="7"/>
      <c r="D21" s="7">
        <v>112000</v>
      </c>
    </row>
    <row r="22" spans="2:5" ht="15.75" x14ac:dyDescent="0.25">
      <c r="B22" s="6" t="s">
        <v>22</v>
      </c>
      <c r="C22" s="7"/>
      <c r="D22" s="7">
        <v>22680</v>
      </c>
    </row>
    <row r="23" spans="2:5" ht="15.75" x14ac:dyDescent="0.25">
      <c r="B23" s="6" t="s">
        <v>9</v>
      </c>
      <c r="C23" s="7"/>
      <c r="D23" s="7">
        <v>150300</v>
      </c>
    </row>
    <row r="24" spans="2:5" ht="15.75" x14ac:dyDescent="0.25">
      <c r="B24" s="6" t="s">
        <v>10</v>
      </c>
      <c r="C24" s="7"/>
      <c r="D24" s="7">
        <f>80000+139460-70000</f>
        <v>149460</v>
      </c>
      <c r="E24" t="s">
        <v>63</v>
      </c>
    </row>
    <row r="25" spans="2:5" ht="15.75" x14ac:dyDescent="0.25">
      <c r="B25" s="6" t="s">
        <v>31</v>
      </c>
      <c r="C25" s="8">
        <f>SUM(C12:C24)</f>
        <v>481480</v>
      </c>
      <c r="D25" s="8">
        <f>SUM(D18:D24)</f>
        <v>481480</v>
      </c>
    </row>
  </sheetData>
  <mergeCells count="6">
    <mergeCell ref="B8:D8"/>
    <mergeCell ref="B9:D9"/>
    <mergeCell ref="B10:D10"/>
    <mergeCell ref="B5:D5"/>
    <mergeCell ref="B6:D6"/>
    <mergeCell ref="B7:D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F7694-7CC6-4D81-BD76-82DD4D774596}">
  <dimension ref="A1"/>
  <sheetViews>
    <sheetView topLeftCell="A14" zoomScale="130" zoomScaleNormal="130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Step 7 Closing Entries</vt:lpstr>
      <vt:lpstr>Step 8 Post Closing Trial Bal.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ROOM NO 2</dc:creator>
  <cp:lastModifiedBy>sami ullah</cp:lastModifiedBy>
  <dcterms:created xsi:type="dcterms:W3CDTF">2015-06-05T18:17:20Z</dcterms:created>
  <dcterms:modified xsi:type="dcterms:W3CDTF">2025-04-11T12:30:49Z</dcterms:modified>
</cp:coreProperties>
</file>