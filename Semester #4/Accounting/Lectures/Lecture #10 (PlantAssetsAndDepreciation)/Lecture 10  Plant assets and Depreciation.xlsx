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F1B82644-06F3-480F-A538-270599E0199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ehtod of Deprecia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4" i="1" l="1"/>
  <c r="I104" i="1" s="1"/>
  <c r="E104" i="1"/>
  <c r="I103" i="1"/>
  <c r="H103" i="1"/>
  <c r="G103" i="1"/>
  <c r="E103" i="1"/>
  <c r="I102" i="1"/>
  <c r="H102" i="1"/>
  <c r="G102" i="1"/>
  <c r="E102" i="1"/>
  <c r="I101" i="1"/>
  <c r="H101" i="1"/>
  <c r="G101" i="1"/>
  <c r="E101" i="1"/>
  <c r="I100" i="1"/>
  <c r="H100" i="1"/>
  <c r="G100" i="1"/>
  <c r="F101" i="1"/>
  <c r="F102" i="1"/>
  <c r="F103" i="1"/>
  <c r="F104" i="1"/>
  <c r="F100" i="1"/>
  <c r="E100" i="1"/>
  <c r="I78" i="1"/>
  <c r="I82" i="1"/>
  <c r="I81" i="1"/>
  <c r="I80" i="1"/>
  <c r="I79" i="1"/>
  <c r="H82" i="1"/>
  <c r="H81" i="1"/>
  <c r="H80" i="1"/>
  <c r="H79" i="1"/>
  <c r="H78" i="1"/>
  <c r="G79" i="1"/>
  <c r="G80" i="1"/>
  <c r="G81" i="1"/>
  <c r="G82" i="1"/>
  <c r="G78" i="1"/>
  <c r="F79" i="1"/>
  <c r="F80" i="1"/>
  <c r="F81" i="1"/>
  <c r="F82" i="1"/>
  <c r="F78" i="1"/>
  <c r="G66" i="1"/>
  <c r="H48" i="1"/>
  <c r="G47" i="1"/>
  <c r="J37" i="1"/>
  <c r="J36" i="1"/>
  <c r="J35" i="1"/>
  <c r="J34" i="1"/>
  <c r="J38" i="1"/>
  <c r="I38" i="1"/>
  <c r="I37" i="1"/>
  <c r="I36" i="1"/>
  <c r="I35" i="1"/>
  <c r="I34" i="1"/>
  <c r="H35" i="1"/>
  <c r="H36" i="1"/>
  <c r="H37" i="1"/>
  <c r="H38" i="1"/>
  <c r="H34" i="1"/>
  <c r="G35" i="1"/>
  <c r="G36" i="1"/>
  <c r="G37" i="1"/>
  <c r="G38" i="1"/>
  <c r="G34" i="1"/>
  <c r="F35" i="1"/>
  <c r="F36" i="1"/>
  <c r="F37" i="1"/>
  <c r="F38" i="1"/>
  <c r="F34" i="1"/>
  <c r="I18" i="1"/>
  <c r="E24" i="1"/>
  <c r="E21" i="1"/>
  <c r="E20" i="1"/>
  <c r="F64" i="1"/>
  <c r="F30" i="1"/>
  <c r="F72" i="1" l="1"/>
  <c r="E86" i="1" l="1"/>
</calcChain>
</file>

<file path=xl/sharedStrings.xml><?xml version="1.0" encoding="utf-8"?>
<sst xmlns="http://schemas.openxmlformats.org/spreadsheetml/2006/main" count="74" uniqueCount="58">
  <si>
    <r>
      <t>•</t>
    </r>
    <r>
      <rPr>
        <b/>
        <sz val="32"/>
        <color rgb="FF000000"/>
        <rFont val="Calibri"/>
        <family val="2"/>
        <scheme val="minor"/>
      </rPr>
      <t xml:space="preserve">1. Straight-line </t>
    </r>
  </si>
  <si>
    <r>
      <t>•</t>
    </r>
    <r>
      <rPr>
        <b/>
        <sz val="32"/>
        <color rgb="FF000000"/>
        <rFont val="Calibri"/>
        <family val="2"/>
        <scheme val="minor"/>
      </rPr>
      <t xml:space="preserve">2. Units-of-activity </t>
    </r>
  </si>
  <si>
    <r>
      <t>•</t>
    </r>
    <r>
      <rPr>
        <b/>
        <sz val="32"/>
        <color rgb="FF000000"/>
        <rFont val="Calibri"/>
        <family val="2"/>
        <scheme val="minor"/>
      </rPr>
      <t>3. Declining-balance</t>
    </r>
  </si>
  <si>
    <r>
      <t>•</t>
    </r>
    <r>
      <rPr>
        <sz val="32"/>
        <color rgb="FF000000"/>
        <rFont val="Calibri"/>
        <family val="2"/>
        <scheme val="minor"/>
      </rPr>
      <t>We will compare the three depreciation methods using the following data for a small delivery truck purchased by Barb’s Florists on January 1, 2017.</t>
    </r>
  </si>
  <si>
    <t xml:space="preserve">Cost </t>
  </si>
  <si>
    <t>Expected Salvage Value</t>
  </si>
  <si>
    <t>Estimated Useful life in years</t>
  </si>
  <si>
    <t>Estimated useful life in Miles</t>
  </si>
  <si>
    <t>STRAIGHT-LINE METHOD</t>
  </si>
  <si>
    <t xml:space="preserve">Formula: </t>
  </si>
  <si>
    <t>Annual Depreciation Expense = Cost of Asset - Salvage Value / Asset useful life in years</t>
  </si>
  <si>
    <t>Annual Depreciation Expense</t>
  </si>
  <si>
    <t xml:space="preserve">Years </t>
  </si>
  <si>
    <t xml:space="preserve">Depreciation Schedule under Straignt line method: </t>
  </si>
  <si>
    <t>Depreciation cost</t>
  </si>
  <si>
    <t>Depreciation Rate =</t>
  </si>
  <si>
    <t xml:space="preserve">Computing Annual rate of Depreciation </t>
  </si>
  <si>
    <t xml:space="preserve">Annual Depreciation Expense </t>
  </si>
  <si>
    <t>Accumulated Depreciation</t>
  </si>
  <si>
    <t>Book value</t>
  </si>
  <si>
    <t>Book value = Cost - Accumulated Depreciation</t>
  </si>
  <si>
    <t>Salvage value or scrap value of the asset</t>
  </si>
  <si>
    <t>The journal entry to record 1st year depreciation expenses would be as follows:</t>
  </si>
  <si>
    <t xml:space="preserve">Date </t>
  </si>
  <si>
    <t xml:space="preserve">Account Detail and Explanation </t>
  </si>
  <si>
    <t>Debit</t>
  </si>
  <si>
    <t>Credit</t>
  </si>
  <si>
    <t>Dec. 31</t>
  </si>
  <si>
    <t>Depreciation expense</t>
  </si>
  <si>
    <t>Accumulated Depr. Truck</t>
  </si>
  <si>
    <t>UNITS-OF-ACTIVITY METHOD</t>
  </si>
  <si>
    <t xml:space="preserve">Under the units-of-activity method, useful life is expressed in terms of the total units of production or use expected from the asset, rather than as a time period. </t>
  </si>
  <si>
    <t>Depreciable Cost = Cost - Salvage value</t>
  </si>
  <si>
    <t>Depreciable cost per unit =</t>
  </si>
  <si>
    <t xml:space="preserve"> Depreciable cost / Total units of activity</t>
  </si>
  <si>
    <t>Annual Depreciation Expense = Depreciable Cost per unit * Units of Activity during one year</t>
  </si>
  <si>
    <t xml:space="preserve">Suppose the 1st year miles were 15000. Then: </t>
  </si>
  <si>
    <t xml:space="preserve">Depreciation Schedule under units of activity Method: </t>
  </si>
  <si>
    <t>Depreciation cost per unit</t>
  </si>
  <si>
    <t>Unit of activity</t>
  </si>
  <si>
    <t xml:space="preserve">Depreciation is generally computed using one of the following methods: </t>
  </si>
  <si>
    <t xml:space="preserve">Computation of Depreciation </t>
  </si>
  <si>
    <t>Salvage value</t>
  </si>
  <si>
    <t>Declining balance method</t>
  </si>
  <si>
    <t xml:space="preserve">The declining-balance method produces a decreasing annual depreciation expense over the asset’s useful life. </t>
  </si>
  <si>
    <r>
      <t>The method is so named because the periodic depreciation is based on a</t>
    </r>
    <r>
      <rPr>
        <sz val="22"/>
        <color rgb="FFFF0000"/>
        <rFont val="Calibri"/>
        <family val="2"/>
        <scheme val="minor"/>
      </rPr>
      <t xml:space="preserve"> declining book value (cost less accumulated depreciation)</t>
    </r>
    <r>
      <rPr>
        <sz val="22"/>
        <color theme="1"/>
        <rFont val="Calibri"/>
        <family val="2"/>
        <scheme val="minor"/>
      </rPr>
      <t xml:space="preserve"> of the asset. </t>
    </r>
  </si>
  <si>
    <t xml:space="preserve">Year </t>
  </si>
  <si>
    <t>Book Value Beginning of the Year</t>
  </si>
  <si>
    <t>Depreciation Rate</t>
  </si>
  <si>
    <t>Accumulated Depreciation Expense</t>
  </si>
  <si>
    <t>Book Value</t>
  </si>
  <si>
    <t xml:space="preserve">Monthly Depreciation </t>
  </si>
  <si>
    <t>Depreciable cost</t>
  </si>
  <si>
    <t>Ending of the year</t>
  </si>
  <si>
    <t>(To record annual depreciation expense of delivery truck)</t>
  </si>
  <si>
    <t xml:space="preserve">End of the year </t>
  </si>
  <si>
    <t>Double declining Balance method</t>
  </si>
  <si>
    <t>2*20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</si>
</sst>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32"/>
      <color theme="1"/>
      <name val="Arial"/>
      <family val="2"/>
    </font>
    <font>
      <sz val="32"/>
      <color rgb="FF000000"/>
      <name val="Calibri"/>
      <family val="2"/>
      <scheme val="minor"/>
    </font>
    <font>
      <b/>
      <sz val="32"/>
      <color rgb="FF000000"/>
      <name val="Calibri"/>
      <family val="2"/>
      <scheme val="minor"/>
    </font>
    <font>
      <sz val="20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rgb="FF000000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rgb="FFFF0000"/>
      <name val="Calibri"/>
      <family val="2"/>
      <scheme val="minor"/>
    </font>
    <font>
      <b/>
      <sz val="18"/>
      <color theme="1"/>
      <name val="Arial"/>
      <family val="2"/>
    </font>
    <font>
      <b/>
      <u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u/>
      <sz val="24"/>
      <color theme="1"/>
      <name val="Calibri"/>
      <family val="2"/>
      <scheme val="minor"/>
    </font>
    <font>
      <b/>
      <u/>
      <sz val="24"/>
      <color rgb="FF000000"/>
      <name val="Calibri"/>
      <family val="2"/>
      <scheme val="minor"/>
    </font>
    <font>
      <u/>
      <sz val="2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2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7">
    <xf numFmtId="0" fontId="0" fillId="0" borderId="0" xfId="0"/>
    <xf numFmtId="0" fontId="3" fillId="0" borderId="0" xfId="0" applyFont="1" applyAlignment="1">
      <alignment horizontal="left" vertical="center" indent="4" readingOrder="1"/>
    </xf>
    <xf numFmtId="0" fontId="6" fillId="0" borderId="0" xfId="0" applyFont="1"/>
    <xf numFmtId="3" fontId="6" fillId="0" borderId="0" xfId="0" applyNumberFormat="1" applyFont="1"/>
    <xf numFmtId="44" fontId="6" fillId="0" borderId="0" xfId="0" applyNumberFormat="1" applyFont="1"/>
    <xf numFmtId="0" fontId="7" fillId="0" borderId="0" xfId="0" applyFont="1"/>
    <xf numFmtId="0" fontId="8" fillId="0" borderId="0" xfId="0" applyFont="1"/>
    <xf numFmtId="44" fontId="0" fillId="0" borderId="0" xfId="0" applyNumberFormat="1"/>
    <xf numFmtId="0" fontId="9" fillId="0" borderId="0" xfId="0" applyFont="1"/>
    <xf numFmtId="0" fontId="4" fillId="0" borderId="0" xfId="0" applyFont="1" applyAlignment="1">
      <alignment horizontal="left" vertical="center" indent="4" readingOrder="1"/>
    </xf>
    <xf numFmtId="0" fontId="5" fillId="2" borderId="0" xfId="0" applyFont="1" applyFill="1" applyAlignment="1">
      <alignment horizontal="left" vertical="center" indent="4" readingOrder="1"/>
    </xf>
    <xf numFmtId="0" fontId="2" fillId="2" borderId="0" xfId="0" applyFont="1" applyFill="1"/>
    <xf numFmtId="0" fontId="10" fillId="0" borderId="0" xfId="0" applyFont="1"/>
    <xf numFmtId="44" fontId="10" fillId="0" borderId="0" xfId="0" applyNumberFormat="1" applyFont="1"/>
    <xf numFmtId="0" fontId="11" fillId="0" borderId="1" xfId="0" applyFont="1" applyBorder="1" applyAlignment="1">
      <alignment horizontal="center"/>
    </xf>
    <xf numFmtId="0" fontId="10" fillId="0" borderId="1" xfId="0" applyFont="1" applyBorder="1"/>
    <xf numFmtId="0" fontId="11" fillId="0" borderId="1" xfId="0" applyFont="1" applyBorder="1"/>
    <xf numFmtId="0" fontId="10" fillId="0" borderId="1" xfId="0" applyFont="1" applyBorder="1" applyAlignment="1">
      <alignment horizontal="center"/>
    </xf>
    <xf numFmtId="2" fontId="10" fillId="0" borderId="1" xfId="0" applyNumberFormat="1" applyFont="1" applyBorder="1"/>
    <xf numFmtId="44" fontId="10" fillId="0" borderId="1" xfId="0" applyNumberFormat="1" applyFont="1" applyBorder="1"/>
    <xf numFmtId="44" fontId="12" fillId="0" borderId="1" xfId="0" applyNumberFormat="1" applyFont="1" applyBorder="1"/>
    <xf numFmtId="0" fontId="11" fillId="0" borderId="0" xfId="0" applyFont="1"/>
    <xf numFmtId="0" fontId="13" fillId="0" borderId="0" xfId="0" applyFont="1" applyAlignment="1">
      <alignment horizontal="justify" vertical="center" readingOrder="1"/>
    </xf>
    <xf numFmtId="0" fontId="10" fillId="2" borderId="0" xfId="0" applyFont="1" applyFill="1"/>
    <xf numFmtId="44" fontId="10" fillId="2" borderId="0" xfId="0" applyNumberFormat="1" applyFont="1" applyFill="1"/>
    <xf numFmtId="9" fontId="10" fillId="0" borderId="0" xfId="1" applyFont="1"/>
    <xf numFmtId="0" fontId="14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16" fillId="0" borderId="0" xfId="0" applyFont="1" applyAlignment="1">
      <alignment horizontal="left"/>
    </xf>
    <xf numFmtId="0" fontId="16" fillId="0" borderId="0" xfId="0" applyFont="1"/>
    <xf numFmtId="0" fontId="15" fillId="0" borderId="0" xfId="0" applyFont="1"/>
    <xf numFmtId="2" fontId="0" fillId="0" borderId="0" xfId="0" applyNumberFormat="1"/>
    <xf numFmtId="44" fontId="12" fillId="2" borderId="1" xfId="0" applyNumberFormat="1" applyFont="1" applyFill="1" applyBorder="1"/>
    <xf numFmtId="44" fontId="22" fillId="0" borderId="0" xfId="0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7"/>
  <sheetViews>
    <sheetView tabSelected="1" topLeftCell="E90" zoomScale="120" zoomScaleNormal="120" workbookViewId="0">
      <selection activeCell="J104" sqref="J104"/>
    </sheetView>
  </sheetViews>
  <sheetFormatPr defaultRowHeight="15" x14ac:dyDescent="0.25"/>
  <cols>
    <col min="4" max="4" width="38.28515625" customWidth="1"/>
    <col min="5" max="5" width="50.85546875" customWidth="1"/>
    <col min="6" max="6" width="48.5703125" customWidth="1"/>
    <col min="7" max="7" width="35.140625" customWidth="1"/>
    <col min="8" max="8" width="39.42578125" customWidth="1"/>
    <col min="9" max="9" width="36" customWidth="1"/>
    <col min="10" max="10" width="20.140625" bestFit="1" customWidth="1"/>
    <col min="17" max="17" width="28" customWidth="1"/>
  </cols>
  <sheetData>
    <row r="1" spans="1:9" ht="42" x14ac:dyDescent="0.25">
      <c r="C1" s="10" t="s">
        <v>41</v>
      </c>
      <c r="D1" s="11"/>
      <c r="E1" s="11"/>
      <c r="F1" s="11"/>
      <c r="G1" s="11"/>
    </row>
    <row r="2" spans="1:9" ht="42" x14ac:dyDescent="0.25">
      <c r="B2" s="9" t="s">
        <v>40</v>
      </c>
    </row>
    <row r="3" spans="1:9" ht="42" x14ac:dyDescent="0.25">
      <c r="B3" s="1" t="s">
        <v>0</v>
      </c>
    </row>
    <row r="4" spans="1:9" ht="42" x14ac:dyDescent="0.25">
      <c r="B4" s="1" t="s">
        <v>1</v>
      </c>
    </row>
    <row r="5" spans="1:9" ht="42" x14ac:dyDescent="0.25">
      <c r="B5" s="1" t="s">
        <v>2</v>
      </c>
    </row>
    <row r="7" spans="1:9" ht="42" x14ac:dyDescent="0.25">
      <c r="A7" s="1" t="s">
        <v>3</v>
      </c>
    </row>
    <row r="10" spans="1:9" ht="26.25" x14ac:dyDescent="0.4">
      <c r="B10" s="2" t="s">
        <v>4</v>
      </c>
      <c r="C10" s="2"/>
      <c r="D10" s="2"/>
      <c r="E10" s="4">
        <v>13000</v>
      </c>
      <c r="F10" s="2"/>
    </row>
    <row r="11" spans="1:9" ht="26.25" x14ac:dyDescent="0.4">
      <c r="B11" s="2" t="s">
        <v>5</v>
      </c>
      <c r="C11" s="2"/>
      <c r="D11" s="2"/>
      <c r="E11" s="4">
        <v>1000</v>
      </c>
      <c r="F11" s="2"/>
    </row>
    <row r="12" spans="1:9" ht="26.25" x14ac:dyDescent="0.4">
      <c r="B12" s="2" t="s">
        <v>6</v>
      </c>
      <c r="C12" s="2"/>
      <c r="D12" s="2"/>
      <c r="E12" s="2">
        <v>5</v>
      </c>
      <c r="F12" s="2"/>
    </row>
    <row r="13" spans="1:9" ht="26.25" x14ac:dyDescent="0.4">
      <c r="B13" s="2" t="s">
        <v>7</v>
      </c>
      <c r="C13" s="2"/>
      <c r="D13" s="2"/>
      <c r="E13" s="3">
        <v>100000</v>
      </c>
      <c r="F13" s="2"/>
    </row>
    <row r="16" spans="1:9" ht="31.5" x14ac:dyDescent="0.5">
      <c r="A16" s="27">
        <v>1</v>
      </c>
      <c r="B16" s="28" t="s">
        <v>8</v>
      </c>
      <c r="C16" s="27"/>
      <c r="D16" s="27"/>
      <c r="E16" s="5"/>
      <c r="F16" s="5"/>
      <c r="G16" s="5"/>
      <c r="H16" s="5"/>
      <c r="I16" s="5"/>
    </row>
    <row r="17" spans="2:17" ht="23.25" x14ac:dyDescent="0.35">
      <c r="J17" s="12"/>
      <c r="K17" s="12"/>
      <c r="L17" s="12"/>
      <c r="M17" s="12"/>
      <c r="N17" s="12"/>
      <c r="O17" s="12"/>
      <c r="P17" s="12"/>
      <c r="Q17" s="12"/>
    </row>
    <row r="18" spans="2:17" ht="23.25" x14ac:dyDescent="0.35">
      <c r="B18" s="21" t="s">
        <v>9</v>
      </c>
      <c r="C18" s="22"/>
      <c r="D18" s="21" t="s">
        <v>10</v>
      </c>
      <c r="E18" s="21"/>
      <c r="F18" s="21"/>
      <c r="G18" s="12"/>
      <c r="H18" s="12" t="s">
        <v>52</v>
      </c>
      <c r="I18" s="13">
        <f>E10-E11</f>
        <v>12000</v>
      </c>
      <c r="J18" s="12"/>
      <c r="K18" s="12"/>
      <c r="L18" s="12"/>
      <c r="M18" s="12"/>
      <c r="N18" s="12"/>
      <c r="O18" s="12"/>
      <c r="P18" s="12"/>
      <c r="Q18" s="13"/>
    </row>
    <row r="19" spans="2:17" ht="23.25" x14ac:dyDescent="0.35">
      <c r="B19" s="21"/>
      <c r="C19" s="21"/>
      <c r="D19" s="21"/>
      <c r="E19" s="21"/>
      <c r="F19" s="21"/>
      <c r="G19" s="21"/>
      <c r="H19" s="21"/>
      <c r="I19" s="21"/>
      <c r="J19" s="21"/>
      <c r="K19" s="12"/>
      <c r="L19" s="12"/>
      <c r="M19" s="12"/>
      <c r="N19" s="12"/>
      <c r="O19" s="12"/>
      <c r="P19" s="12"/>
      <c r="Q19" s="13"/>
    </row>
    <row r="20" spans="2:17" ht="23.25" x14ac:dyDescent="0.35">
      <c r="B20" s="12"/>
      <c r="C20" s="12"/>
      <c r="D20" s="12"/>
      <c r="E20" s="24">
        <f>(E10-E11)/E12</f>
        <v>2400</v>
      </c>
      <c r="F20" s="23"/>
      <c r="G20" s="24"/>
      <c r="H20" s="12"/>
      <c r="I20" s="12"/>
      <c r="J20" s="12"/>
      <c r="K20" s="12"/>
      <c r="L20" s="12"/>
      <c r="M20" s="12"/>
      <c r="N20" s="12"/>
      <c r="O20" s="12"/>
      <c r="P20" s="12"/>
      <c r="Q20" s="13"/>
    </row>
    <row r="21" spans="2:17" ht="23.25" x14ac:dyDescent="0.35">
      <c r="B21" s="12"/>
      <c r="C21" s="12"/>
      <c r="D21" s="12" t="s">
        <v>51</v>
      </c>
      <c r="E21" s="13">
        <f>E20/12</f>
        <v>200</v>
      </c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3"/>
    </row>
    <row r="22" spans="2:17" ht="23.25" x14ac:dyDescent="0.35">
      <c r="B22" s="12"/>
      <c r="C22" s="12"/>
      <c r="D22" s="12"/>
      <c r="E22" s="23"/>
      <c r="F22" s="23"/>
      <c r="G22" s="24"/>
      <c r="H22" s="23"/>
      <c r="I22" s="23"/>
      <c r="J22" s="23"/>
      <c r="K22" s="24"/>
      <c r="L22" s="23"/>
      <c r="M22" s="23"/>
      <c r="N22" s="23"/>
      <c r="O22" s="12"/>
      <c r="P22" s="12"/>
      <c r="Q22" s="13"/>
    </row>
    <row r="23" spans="2:17" ht="23.25" x14ac:dyDescent="0.35"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</row>
    <row r="24" spans="2:17" ht="23.25" x14ac:dyDescent="0.35">
      <c r="B24" s="12"/>
      <c r="C24" s="12"/>
      <c r="D24" s="12" t="s">
        <v>48</v>
      </c>
      <c r="E24" s="12">
        <f>100/5</f>
        <v>20</v>
      </c>
      <c r="F24" s="13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</row>
    <row r="25" spans="2:17" ht="23.25" x14ac:dyDescent="0.35">
      <c r="B25" s="12"/>
      <c r="C25" s="12"/>
      <c r="D25" s="12"/>
      <c r="E25" s="12"/>
      <c r="F25" s="12"/>
      <c r="G25" s="13"/>
      <c r="H25" s="12"/>
      <c r="I25" s="12"/>
      <c r="J25" s="12"/>
      <c r="K25" s="12"/>
      <c r="L25" s="12"/>
      <c r="M25" s="12"/>
      <c r="N25" s="12"/>
      <c r="O25" s="12"/>
      <c r="P25" s="12"/>
      <c r="Q25" s="12"/>
    </row>
    <row r="26" spans="2:17" ht="23.25" x14ac:dyDescent="0.35"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</row>
    <row r="27" spans="2:17" ht="23.25" x14ac:dyDescent="0.35">
      <c r="B27" s="12"/>
      <c r="C27" s="12"/>
      <c r="D27" s="12"/>
      <c r="E27" s="12"/>
      <c r="F27" s="12"/>
      <c r="G27" s="13"/>
      <c r="H27" s="12"/>
      <c r="I27" s="12"/>
      <c r="J27" s="12"/>
      <c r="K27" s="12"/>
      <c r="L27" s="12"/>
      <c r="M27" s="12"/>
      <c r="N27" s="12"/>
      <c r="O27" s="12"/>
      <c r="P27" s="12"/>
      <c r="Q27" s="12"/>
    </row>
    <row r="28" spans="2:17" ht="23.25" x14ac:dyDescent="0.35"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</row>
    <row r="29" spans="2:17" ht="23.25" x14ac:dyDescent="0.35"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</row>
    <row r="30" spans="2:17" ht="23.25" x14ac:dyDescent="0.35">
      <c r="B30" s="12" t="s">
        <v>16</v>
      </c>
      <c r="C30" s="12"/>
      <c r="D30" s="12"/>
      <c r="E30" s="12"/>
      <c r="F30" s="25">
        <f>1/5</f>
        <v>0.2</v>
      </c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</row>
    <row r="31" spans="2:17" ht="23.25" x14ac:dyDescent="0.35"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</row>
    <row r="32" spans="2:17" ht="23.25" x14ac:dyDescent="0.35">
      <c r="B32" s="12"/>
      <c r="C32" s="12"/>
      <c r="D32" s="12"/>
      <c r="E32" s="21" t="s">
        <v>13</v>
      </c>
      <c r="F32" s="21"/>
      <c r="G32" s="21"/>
      <c r="H32" s="21"/>
      <c r="I32" s="26" t="s">
        <v>53</v>
      </c>
      <c r="J32" s="26"/>
      <c r="K32" s="26"/>
      <c r="L32" s="12"/>
      <c r="M32" s="12"/>
      <c r="N32" s="12"/>
      <c r="O32" s="12"/>
      <c r="P32" s="12"/>
      <c r="Q32" s="12"/>
    </row>
    <row r="33" spans="2:17" ht="23.25" x14ac:dyDescent="0.35">
      <c r="B33" s="12"/>
      <c r="C33" s="12"/>
      <c r="D33" s="12"/>
      <c r="E33" s="16" t="s">
        <v>12</v>
      </c>
      <c r="F33" s="16" t="s">
        <v>14</v>
      </c>
      <c r="G33" s="16" t="s">
        <v>15</v>
      </c>
      <c r="H33" s="16" t="s">
        <v>17</v>
      </c>
      <c r="I33" s="16" t="s">
        <v>18</v>
      </c>
      <c r="J33" s="16" t="s">
        <v>19</v>
      </c>
      <c r="K33" s="21"/>
      <c r="L33" s="12"/>
      <c r="M33" s="12"/>
      <c r="N33" s="12"/>
      <c r="O33" s="12"/>
      <c r="P33" s="12"/>
      <c r="Q33" s="12"/>
    </row>
    <row r="34" spans="2:17" ht="23.25" x14ac:dyDescent="0.35">
      <c r="B34" s="12"/>
      <c r="C34" s="12"/>
      <c r="D34" s="12"/>
      <c r="E34" s="15">
        <v>2017</v>
      </c>
      <c r="F34" s="19">
        <f>I$18</f>
        <v>12000</v>
      </c>
      <c r="G34" s="18">
        <f>F$30</f>
        <v>0.2</v>
      </c>
      <c r="H34" s="19">
        <f>F34*G34</f>
        <v>2400</v>
      </c>
      <c r="I34" s="19">
        <f>H34</f>
        <v>2400</v>
      </c>
      <c r="J34" s="19">
        <f>E10-I34</f>
        <v>10600</v>
      </c>
      <c r="K34" s="12"/>
      <c r="L34" s="12"/>
      <c r="M34" s="12"/>
      <c r="N34" s="12"/>
      <c r="O34" s="12"/>
      <c r="P34" s="12"/>
      <c r="Q34" s="12"/>
    </row>
    <row r="35" spans="2:17" ht="23.25" x14ac:dyDescent="0.35">
      <c r="B35" s="12"/>
      <c r="C35" s="12"/>
      <c r="D35" s="12"/>
      <c r="E35" s="15">
        <v>2018</v>
      </c>
      <c r="F35" s="19">
        <f t="shared" ref="F35:F38" si="0">I$18</f>
        <v>12000</v>
      </c>
      <c r="G35" s="18">
        <f t="shared" ref="G35:G38" si="1">F$30</f>
        <v>0.2</v>
      </c>
      <c r="H35" s="19">
        <f t="shared" ref="H35:H38" si="2">F35*G35</f>
        <v>2400</v>
      </c>
      <c r="I35" s="19">
        <f>I34+H35</f>
        <v>4800</v>
      </c>
      <c r="J35" s="19">
        <f>E10-I35</f>
        <v>8200</v>
      </c>
      <c r="K35" s="12"/>
      <c r="L35" s="12"/>
      <c r="M35" s="12"/>
      <c r="N35" s="12"/>
      <c r="O35" s="12"/>
      <c r="P35" s="12"/>
      <c r="Q35" s="12"/>
    </row>
    <row r="36" spans="2:17" ht="23.25" x14ac:dyDescent="0.35">
      <c r="B36" s="12"/>
      <c r="C36" s="12"/>
      <c r="D36" s="12"/>
      <c r="E36" s="15">
        <v>2019</v>
      </c>
      <c r="F36" s="19">
        <f t="shared" si="0"/>
        <v>12000</v>
      </c>
      <c r="G36" s="18">
        <f t="shared" si="1"/>
        <v>0.2</v>
      </c>
      <c r="H36" s="19">
        <f t="shared" si="2"/>
        <v>2400</v>
      </c>
      <c r="I36" s="19">
        <f>I35+H36</f>
        <v>7200</v>
      </c>
      <c r="J36" s="19">
        <f>E10-I36</f>
        <v>5800</v>
      </c>
      <c r="K36" s="12"/>
      <c r="L36" s="12"/>
      <c r="M36" s="12"/>
      <c r="N36" s="12"/>
      <c r="O36" s="12"/>
      <c r="P36" s="12"/>
      <c r="Q36" s="12"/>
    </row>
    <row r="37" spans="2:17" ht="23.25" x14ac:dyDescent="0.35">
      <c r="B37" s="12"/>
      <c r="C37" s="12"/>
      <c r="D37" s="12"/>
      <c r="E37" s="15">
        <v>2020</v>
      </c>
      <c r="F37" s="19">
        <f t="shared" si="0"/>
        <v>12000</v>
      </c>
      <c r="G37" s="18">
        <f t="shared" si="1"/>
        <v>0.2</v>
      </c>
      <c r="H37" s="19">
        <f t="shared" si="2"/>
        <v>2400</v>
      </c>
      <c r="I37" s="19">
        <f>I36+H37</f>
        <v>9600</v>
      </c>
      <c r="J37" s="19">
        <f>E10-I37</f>
        <v>3400</v>
      </c>
      <c r="K37" s="12"/>
      <c r="L37" s="12"/>
      <c r="M37" s="12"/>
      <c r="N37" s="12"/>
      <c r="O37" s="12"/>
      <c r="P37" s="12"/>
      <c r="Q37" s="12"/>
    </row>
    <row r="38" spans="2:17" ht="23.25" x14ac:dyDescent="0.35">
      <c r="B38" s="12"/>
      <c r="C38" s="12"/>
      <c r="D38" s="12"/>
      <c r="E38" s="15">
        <v>2021</v>
      </c>
      <c r="F38" s="19">
        <f t="shared" si="0"/>
        <v>12000</v>
      </c>
      <c r="G38" s="18">
        <f t="shared" si="1"/>
        <v>0.2</v>
      </c>
      <c r="H38" s="19">
        <f t="shared" si="2"/>
        <v>2400</v>
      </c>
      <c r="I38" s="19">
        <f>I37+H38</f>
        <v>12000</v>
      </c>
      <c r="J38" s="35">
        <f>E10-I38</f>
        <v>1000</v>
      </c>
      <c r="K38" s="12" t="s">
        <v>21</v>
      </c>
      <c r="L38" s="12"/>
      <c r="M38" s="12"/>
      <c r="N38" s="12"/>
      <c r="O38" s="12"/>
      <c r="P38" s="12"/>
      <c r="Q38" s="12"/>
    </row>
    <row r="39" spans="2:17" ht="23.25" x14ac:dyDescent="0.35"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</row>
    <row r="40" spans="2:17" ht="23.25" x14ac:dyDescent="0.35"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</row>
    <row r="41" spans="2:17" ht="23.25" x14ac:dyDescent="0.35">
      <c r="B41" s="12"/>
      <c r="C41" s="12"/>
      <c r="D41" s="12"/>
      <c r="E41" s="12" t="s">
        <v>20</v>
      </c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</row>
    <row r="42" spans="2:17" ht="23.25" x14ac:dyDescent="0.35"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</row>
    <row r="43" spans="2:17" ht="23.25" x14ac:dyDescent="0.35">
      <c r="B43" s="12"/>
      <c r="C43" s="12"/>
      <c r="D43" s="12" t="s">
        <v>22</v>
      </c>
      <c r="E43" s="12"/>
      <c r="F43" s="12"/>
      <c r="G43" s="12"/>
      <c r="H43" s="12"/>
      <c r="I43" s="12"/>
    </row>
    <row r="44" spans="2:17" ht="23.25" x14ac:dyDescent="0.35">
      <c r="B44" s="12"/>
      <c r="C44" s="12"/>
      <c r="D44" s="12"/>
      <c r="E44" s="12"/>
      <c r="F44" s="12"/>
      <c r="G44" s="12"/>
      <c r="H44" s="12"/>
      <c r="I44" s="12"/>
    </row>
    <row r="45" spans="2:17" ht="23.25" x14ac:dyDescent="0.35">
      <c r="B45" s="12"/>
      <c r="C45" s="12"/>
      <c r="D45" s="15" t="s">
        <v>23</v>
      </c>
      <c r="E45" s="15" t="s">
        <v>24</v>
      </c>
      <c r="F45" s="15"/>
      <c r="G45" s="15" t="s">
        <v>25</v>
      </c>
      <c r="H45" s="15" t="s">
        <v>26</v>
      </c>
      <c r="I45" s="12"/>
    </row>
    <row r="46" spans="2:17" ht="23.25" x14ac:dyDescent="0.35">
      <c r="B46" s="12"/>
      <c r="C46" s="12"/>
      <c r="D46" s="15">
        <v>2017</v>
      </c>
      <c r="E46" s="15"/>
      <c r="F46" s="15"/>
      <c r="G46" s="15"/>
      <c r="H46" s="15"/>
      <c r="I46" s="12"/>
    </row>
    <row r="47" spans="2:17" ht="23.25" x14ac:dyDescent="0.35">
      <c r="B47" s="12"/>
      <c r="C47" s="12"/>
      <c r="D47" s="15" t="s">
        <v>27</v>
      </c>
      <c r="E47" s="15" t="s">
        <v>28</v>
      </c>
      <c r="F47" s="15"/>
      <c r="G47" s="19">
        <f>H34</f>
        <v>2400</v>
      </c>
      <c r="H47" s="15"/>
      <c r="I47" s="12"/>
    </row>
    <row r="48" spans="2:17" ht="23.25" x14ac:dyDescent="0.35">
      <c r="B48" s="12"/>
      <c r="C48" s="12"/>
      <c r="D48" s="15"/>
      <c r="E48" s="15"/>
      <c r="F48" s="15" t="s">
        <v>29</v>
      </c>
      <c r="G48" s="15"/>
      <c r="H48" s="19">
        <f>H34</f>
        <v>2400</v>
      </c>
      <c r="I48" s="12"/>
    </row>
    <row r="49" spans="1:11" ht="23.25" x14ac:dyDescent="0.35">
      <c r="B49" s="12"/>
      <c r="C49" s="12"/>
      <c r="D49" s="15"/>
      <c r="E49" s="15" t="s">
        <v>54</v>
      </c>
      <c r="F49" s="15"/>
      <c r="G49" s="15"/>
      <c r="H49" s="15"/>
      <c r="I49" s="12"/>
    </row>
    <row r="50" spans="1:11" ht="23.25" x14ac:dyDescent="0.35">
      <c r="B50" s="12"/>
      <c r="C50" s="12"/>
      <c r="D50" s="15"/>
      <c r="E50" s="15"/>
      <c r="F50" s="15"/>
      <c r="G50" s="15"/>
      <c r="H50" s="15"/>
      <c r="I50" s="12"/>
    </row>
    <row r="51" spans="1:11" ht="23.25" x14ac:dyDescent="0.35">
      <c r="B51" s="12"/>
      <c r="C51" s="12"/>
      <c r="D51" s="12"/>
      <c r="E51" s="12"/>
      <c r="F51" s="12"/>
      <c r="G51" s="12"/>
      <c r="H51" s="12"/>
      <c r="I51" s="12"/>
    </row>
    <row r="53" spans="1:11" ht="31.5" x14ac:dyDescent="0.5">
      <c r="A53" s="27">
        <v>2</v>
      </c>
      <c r="B53" s="28" t="s">
        <v>30</v>
      </c>
      <c r="C53" s="29"/>
      <c r="D53" s="29"/>
      <c r="E53" s="29"/>
      <c r="F53" s="29"/>
    </row>
    <row r="55" spans="1:11" ht="23.25" x14ac:dyDescent="0.35">
      <c r="D55" s="8" t="s">
        <v>31</v>
      </c>
    </row>
    <row r="57" spans="1:11" ht="26.25" x14ac:dyDescent="0.4">
      <c r="D57" s="2" t="s">
        <v>4</v>
      </c>
      <c r="E57" s="2"/>
      <c r="F57" s="2"/>
      <c r="G57" s="4">
        <v>13000</v>
      </c>
    </row>
    <row r="58" spans="1:11" ht="26.25" x14ac:dyDescent="0.4">
      <c r="D58" s="2" t="s">
        <v>5</v>
      </c>
      <c r="E58" s="2"/>
      <c r="F58" s="2"/>
      <c r="G58" s="4">
        <v>1000</v>
      </c>
    </row>
    <row r="59" spans="1:11" ht="26.25" x14ac:dyDescent="0.4">
      <c r="D59" s="2" t="s">
        <v>6</v>
      </c>
      <c r="E59" s="2"/>
      <c r="F59" s="2"/>
      <c r="G59" s="2">
        <v>5</v>
      </c>
    </row>
    <row r="60" spans="1:11" ht="26.25" x14ac:dyDescent="0.4">
      <c r="D60" s="2" t="s">
        <v>7</v>
      </c>
      <c r="E60" s="2"/>
      <c r="F60" s="2"/>
      <c r="G60" s="3">
        <v>100000</v>
      </c>
    </row>
    <row r="61" spans="1:11" ht="23.25" x14ac:dyDescent="0.35">
      <c r="D61" s="12"/>
      <c r="E61" s="12"/>
      <c r="F61" s="12"/>
      <c r="G61" s="12"/>
      <c r="H61" s="12"/>
      <c r="I61" s="12"/>
      <c r="J61" s="12"/>
      <c r="K61" s="12"/>
    </row>
    <row r="62" spans="1:11" ht="23.25" x14ac:dyDescent="0.35">
      <c r="D62" s="12"/>
      <c r="E62" s="12"/>
      <c r="F62" s="12"/>
      <c r="G62" s="12"/>
      <c r="H62" s="12"/>
      <c r="I62" s="12"/>
      <c r="J62" s="12"/>
      <c r="K62" s="12"/>
    </row>
    <row r="63" spans="1:11" ht="23.25" x14ac:dyDescent="0.35">
      <c r="D63" s="12"/>
      <c r="E63" s="12" t="s">
        <v>9</v>
      </c>
      <c r="F63" s="12" t="s">
        <v>32</v>
      </c>
      <c r="G63" s="12"/>
      <c r="H63" s="12"/>
      <c r="I63" s="12"/>
      <c r="J63" s="12"/>
      <c r="K63" s="12"/>
    </row>
    <row r="64" spans="1:11" ht="23.25" x14ac:dyDescent="0.35">
      <c r="D64" s="12"/>
      <c r="E64" s="12"/>
      <c r="F64" s="13">
        <f>G57-G58</f>
        <v>12000</v>
      </c>
      <c r="G64" s="12"/>
      <c r="H64" s="12"/>
      <c r="I64" s="12"/>
      <c r="J64" s="12"/>
      <c r="K64" s="12"/>
    </row>
    <row r="65" spans="3:11" ht="23.25" x14ac:dyDescent="0.35">
      <c r="D65" s="12"/>
      <c r="E65" s="12"/>
      <c r="F65" s="12" t="s">
        <v>33</v>
      </c>
      <c r="G65" s="12" t="s">
        <v>34</v>
      </c>
      <c r="H65" s="12"/>
      <c r="I65" s="12"/>
      <c r="J65" s="12"/>
      <c r="K65" s="12"/>
    </row>
    <row r="66" spans="3:11" ht="23.25" x14ac:dyDescent="0.35">
      <c r="D66" s="12"/>
      <c r="E66" s="12"/>
      <c r="F66" s="12"/>
      <c r="G66" s="13">
        <f>F64/G60</f>
        <v>0.12</v>
      </c>
      <c r="H66" s="12"/>
      <c r="I66" s="12"/>
      <c r="J66" s="12"/>
      <c r="K66" s="12"/>
    </row>
    <row r="67" spans="3:11" ht="23.25" x14ac:dyDescent="0.35">
      <c r="D67" s="12"/>
      <c r="E67" s="12"/>
      <c r="F67" s="12"/>
      <c r="G67" s="12"/>
      <c r="H67" s="12"/>
      <c r="I67" s="12"/>
      <c r="J67" s="12"/>
      <c r="K67" s="12"/>
    </row>
    <row r="68" spans="3:11" ht="23.25" x14ac:dyDescent="0.35">
      <c r="D68" s="12"/>
      <c r="E68" s="12" t="s">
        <v>35</v>
      </c>
      <c r="F68" s="12"/>
      <c r="G68" s="12"/>
      <c r="H68" s="12"/>
      <c r="I68" s="12"/>
      <c r="J68" s="12"/>
      <c r="K68" s="12"/>
    </row>
    <row r="69" spans="3:11" ht="23.25" x14ac:dyDescent="0.35">
      <c r="D69" s="12"/>
      <c r="E69" s="12"/>
      <c r="F69" s="12"/>
      <c r="G69" s="12"/>
      <c r="H69" s="12"/>
      <c r="I69" s="12"/>
      <c r="J69" s="12"/>
      <c r="K69" s="12"/>
    </row>
    <row r="70" spans="3:11" ht="23.25" x14ac:dyDescent="0.35">
      <c r="D70" s="12"/>
      <c r="E70" s="12" t="s">
        <v>36</v>
      </c>
      <c r="F70" s="12"/>
      <c r="G70" s="12"/>
      <c r="H70" s="12"/>
      <c r="I70" s="12"/>
      <c r="J70" s="12"/>
      <c r="K70" s="12"/>
    </row>
    <row r="71" spans="3:11" ht="23.25" x14ac:dyDescent="0.35">
      <c r="D71" s="12"/>
      <c r="E71" s="12"/>
      <c r="F71" s="12"/>
      <c r="G71" s="12"/>
      <c r="H71" s="12"/>
      <c r="I71" s="12"/>
      <c r="J71" s="12"/>
      <c r="K71" s="12"/>
    </row>
    <row r="72" spans="3:11" ht="23.25" x14ac:dyDescent="0.35">
      <c r="D72" s="12"/>
      <c r="E72" s="12" t="s">
        <v>17</v>
      </c>
      <c r="F72" s="13">
        <f>15000*G66</f>
        <v>1800</v>
      </c>
      <c r="G72" s="12"/>
      <c r="H72" s="12"/>
      <c r="I72" s="12"/>
      <c r="J72" s="12"/>
      <c r="K72" s="12"/>
    </row>
    <row r="73" spans="3:11" ht="23.25" x14ac:dyDescent="0.35">
      <c r="C73" s="6"/>
      <c r="D73" s="12"/>
      <c r="E73" s="12"/>
      <c r="F73" s="12"/>
      <c r="G73" s="12"/>
      <c r="H73" s="12"/>
      <c r="I73" s="12"/>
      <c r="J73" s="12"/>
      <c r="K73" s="12"/>
    </row>
    <row r="74" spans="3:11" ht="23.25" x14ac:dyDescent="0.35">
      <c r="C74" s="6"/>
      <c r="D74" s="12"/>
      <c r="E74" s="12"/>
      <c r="F74" s="12"/>
      <c r="G74" s="12"/>
      <c r="H74" s="12"/>
      <c r="I74" s="12"/>
      <c r="J74" s="12"/>
      <c r="K74" s="12"/>
    </row>
    <row r="75" spans="3:11" ht="23.25" x14ac:dyDescent="0.35">
      <c r="C75" s="6"/>
      <c r="D75" s="12" t="s">
        <v>37</v>
      </c>
      <c r="E75" s="12"/>
      <c r="F75" s="12"/>
      <c r="G75" s="12"/>
      <c r="H75" s="12"/>
      <c r="I75" s="12"/>
      <c r="J75" s="12"/>
      <c r="K75" s="12"/>
    </row>
    <row r="76" spans="3:11" ht="23.25" x14ac:dyDescent="0.35">
      <c r="C76" s="6"/>
      <c r="D76" s="12"/>
      <c r="E76" s="12"/>
      <c r="F76" s="12"/>
      <c r="G76" s="12"/>
      <c r="H76" s="12" t="s">
        <v>55</v>
      </c>
      <c r="I76" s="12"/>
      <c r="J76" s="12"/>
      <c r="K76" s="12"/>
    </row>
    <row r="77" spans="3:11" ht="23.25" x14ac:dyDescent="0.35">
      <c r="C77" s="6"/>
      <c r="D77" s="14" t="s">
        <v>12</v>
      </c>
      <c r="E77" s="16" t="s">
        <v>39</v>
      </c>
      <c r="F77" s="16" t="s">
        <v>38</v>
      </c>
      <c r="G77" s="16" t="s">
        <v>17</v>
      </c>
      <c r="H77" s="16" t="s">
        <v>18</v>
      </c>
      <c r="I77" s="16" t="s">
        <v>19</v>
      </c>
      <c r="J77" s="12"/>
      <c r="K77" s="12"/>
    </row>
    <row r="78" spans="3:11" ht="23.25" x14ac:dyDescent="0.35">
      <c r="C78" s="6"/>
      <c r="D78" s="17">
        <v>2017</v>
      </c>
      <c r="E78" s="18">
        <v>15000</v>
      </c>
      <c r="F78" s="18">
        <f>G$66</f>
        <v>0.12</v>
      </c>
      <c r="G78" s="19">
        <f>E78*F78</f>
        <v>1800</v>
      </c>
      <c r="H78" s="19">
        <f>G78</f>
        <v>1800</v>
      </c>
      <c r="I78" s="19">
        <f>G57-H78</f>
        <v>11200</v>
      </c>
      <c r="J78" s="12"/>
      <c r="K78" s="12"/>
    </row>
    <row r="79" spans="3:11" ht="23.25" x14ac:dyDescent="0.35">
      <c r="C79" s="6"/>
      <c r="D79" s="17">
        <v>2018</v>
      </c>
      <c r="E79" s="18">
        <v>30000</v>
      </c>
      <c r="F79" s="18">
        <f t="shared" ref="F79:F82" si="3">G$66</f>
        <v>0.12</v>
      </c>
      <c r="G79" s="19">
        <f t="shared" ref="G79:G82" si="4">E79*F79</f>
        <v>3600</v>
      </c>
      <c r="H79" s="19">
        <f>H78+G79</f>
        <v>5400</v>
      </c>
      <c r="I79" s="19">
        <f>G57-H79</f>
        <v>7600</v>
      </c>
      <c r="J79" s="12"/>
      <c r="K79" s="12"/>
    </row>
    <row r="80" spans="3:11" ht="23.25" x14ac:dyDescent="0.35">
      <c r="C80" s="6"/>
      <c r="D80" s="17">
        <v>2019</v>
      </c>
      <c r="E80" s="18">
        <v>20000</v>
      </c>
      <c r="F80" s="18">
        <f t="shared" si="3"/>
        <v>0.12</v>
      </c>
      <c r="G80" s="19">
        <f t="shared" si="4"/>
        <v>2400</v>
      </c>
      <c r="H80" s="19">
        <f>H79+G80</f>
        <v>7800</v>
      </c>
      <c r="I80" s="19">
        <f>G57-H80</f>
        <v>5200</v>
      </c>
      <c r="J80" s="12"/>
      <c r="K80" s="12"/>
    </row>
    <row r="81" spans="2:11" ht="23.25" x14ac:dyDescent="0.35">
      <c r="C81" s="6"/>
      <c r="D81" s="17">
        <v>2020</v>
      </c>
      <c r="E81" s="18">
        <v>25000</v>
      </c>
      <c r="F81" s="18">
        <f t="shared" si="3"/>
        <v>0.12</v>
      </c>
      <c r="G81" s="19">
        <f t="shared" si="4"/>
        <v>3000</v>
      </c>
      <c r="H81" s="19">
        <f>H80+G81</f>
        <v>10800</v>
      </c>
      <c r="I81" s="19">
        <f>G57-H81</f>
        <v>2200</v>
      </c>
      <c r="J81" s="12"/>
      <c r="K81" s="12"/>
    </row>
    <row r="82" spans="2:11" ht="23.25" x14ac:dyDescent="0.35">
      <c r="C82" s="6"/>
      <c r="D82" s="17">
        <v>2021</v>
      </c>
      <c r="E82" s="18">
        <v>10000</v>
      </c>
      <c r="F82" s="18">
        <f t="shared" si="3"/>
        <v>0.12</v>
      </c>
      <c r="G82" s="19">
        <f t="shared" si="4"/>
        <v>1200</v>
      </c>
      <c r="H82" s="19">
        <f>H81+G82</f>
        <v>12000</v>
      </c>
      <c r="I82" s="20">
        <f>G57-H82</f>
        <v>1000</v>
      </c>
      <c r="J82" s="12" t="s">
        <v>42</v>
      </c>
      <c r="K82" s="12"/>
    </row>
    <row r="83" spans="2:11" ht="23.25" x14ac:dyDescent="0.35">
      <c r="C83" s="6"/>
      <c r="D83" s="12"/>
      <c r="E83" s="12"/>
      <c r="F83" s="12"/>
      <c r="G83" s="12"/>
      <c r="H83" s="12"/>
      <c r="I83" s="12"/>
      <c r="J83" s="12"/>
      <c r="K83" s="12"/>
    </row>
    <row r="84" spans="2:11" ht="23.25" x14ac:dyDescent="0.35">
      <c r="C84" s="6"/>
      <c r="D84" s="12"/>
      <c r="E84" s="12" t="s">
        <v>20</v>
      </c>
      <c r="F84" s="12"/>
      <c r="G84" s="12"/>
      <c r="H84" s="12"/>
      <c r="I84" s="12"/>
      <c r="J84" s="12"/>
      <c r="K84" s="12"/>
    </row>
    <row r="85" spans="2:11" ht="23.25" x14ac:dyDescent="0.35">
      <c r="C85" s="6"/>
      <c r="D85" s="12"/>
      <c r="E85" s="12"/>
      <c r="F85" s="12"/>
      <c r="G85" s="12"/>
      <c r="H85" s="12"/>
      <c r="I85" s="12"/>
      <c r="J85" s="12"/>
      <c r="K85" s="12"/>
    </row>
    <row r="86" spans="2:11" ht="23.25" x14ac:dyDescent="0.35">
      <c r="C86" s="6"/>
      <c r="D86" s="12"/>
      <c r="E86" s="13">
        <f>G57-H78</f>
        <v>11200</v>
      </c>
      <c r="F86" s="12"/>
      <c r="G86" s="12"/>
      <c r="H86" s="12"/>
      <c r="I86" s="12"/>
      <c r="J86" s="12"/>
      <c r="K86" s="12"/>
    </row>
    <row r="87" spans="2:11" ht="26.25" x14ac:dyDescent="0.4">
      <c r="B87" s="30">
        <v>3</v>
      </c>
      <c r="C87" s="30"/>
      <c r="D87" s="30" t="s">
        <v>43</v>
      </c>
      <c r="E87" s="30"/>
      <c r="F87" s="12"/>
      <c r="G87" s="12"/>
      <c r="H87" s="12"/>
      <c r="I87" s="12"/>
      <c r="J87" s="12"/>
      <c r="K87" s="12"/>
    </row>
    <row r="89" spans="2:11" ht="28.5" x14ac:dyDescent="0.45">
      <c r="D89" s="31" t="s">
        <v>44</v>
      </c>
      <c r="E89" s="32"/>
      <c r="F89" s="32"/>
      <c r="G89" s="32"/>
      <c r="H89" s="32"/>
      <c r="I89" s="32"/>
      <c r="J89" s="32"/>
      <c r="K89" s="32"/>
    </row>
    <row r="90" spans="2:11" ht="28.5" x14ac:dyDescent="0.45">
      <c r="D90" s="32" t="s">
        <v>45</v>
      </c>
      <c r="E90" s="32"/>
      <c r="F90" s="32"/>
      <c r="G90" s="32"/>
      <c r="H90" s="32"/>
      <c r="I90" s="32"/>
      <c r="J90" s="32"/>
      <c r="K90" s="32"/>
    </row>
    <row r="91" spans="2:11" ht="28.5" x14ac:dyDescent="0.45">
      <c r="D91" s="32"/>
      <c r="E91" s="32"/>
      <c r="F91" s="32"/>
      <c r="G91" s="32"/>
      <c r="H91" s="32"/>
      <c r="I91" s="32"/>
      <c r="J91" s="32"/>
      <c r="K91" s="32"/>
    </row>
    <row r="92" spans="2:11" ht="26.25" x14ac:dyDescent="0.4">
      <c r="D92" s="2" t="s">
        <v>4</v>
      </c>
      <c r="E92" s="2"/>
      <c r="F92" s="2"/>
      <c r="G92" s="4">
        <v>13000</v>
      </c>
    </row>
    <row r="93" spans="2:11" ht="26.25" x14ac:dyDescent="0.4">
      <c r="D93" s="2" t="s">
        <v>5</v>
      </c>
      <c r="E93" s="2"/>
      <c r="F93" s="2"/>
      <c r="G93" s="4">
        <v>1000</v>
      </c>
    </row>
    <row r="94" spans="2:11" ht="26.25" x14ac:dyDescent="0.4">
      <c r="D94" s="2" t="s">
        <v>6</v>
      </c>
      <c r="E94" s="2"/>
      <c r="F94" s="2"/>
      <c r="G94" s="2">
        <v>5</v>
      </c>
    </row>
    <row r="95" spans="2:11" ht="26.25" x14ac:dyDescent="0.4">
      <c r="D95" s="2" t="s">
        <v>7</v>
      </c>
      <c r="E95" s="2"/>
      <c r="F95" s="2"/>
      <c r="G95" s="3">
        <v>100000</v>
      </c>
    </row>
    <row r="97" spans="4:9" ht="26.25" x14ac:dyDescent="0.4">
      <c r="D97" s="2" t="s">
        <v>56</v>
      </c>
      <c r="F97" t="s">
        <v>57</v>
      </c>
      <c r="G97">
        <v>0.4</v>
      </c>
    </row>
    <row r="98" spans="4:9" ht="18.75" x14ac:dyDescent="0.3">
      <c r="D98" s="33"/>
      <c r="E98" s="33"/>
      <c r="F98" s="33"/>
      <c r="G98" s="33"/>
      <c r="H98" s="33"/>
      <c r="I98" s="33"/>
    </row>
    <row r="99" spans="4:9" ht="18.75" x14ac:dyDescent="0.3">
      <c r="D99" s="33" t="s">
        <v>46</v>
      </c>
      <c r="E99" s="33" t="s">
        <v>47</v>
      </c>
      <c r="F99" s="33" t="s">
        <v>48</v>
      </c>
      <c r="G99" s="33" t="s">
        <v>11</v>
      </c>
      <c r="H99" s="33" t="s">
        <v>49</v>
      </c>
      <c r="I99" s="33" t="s">
        <v>50</v>
      </c>
    </row>
    <row r="100" spans="4:9" x14ac:dyDescent="0.25">
      <c r="D100">
        <v>2017</v>
      </c>
      <c r="E100" s="7">
        <f>G92</f>
        <v>13000</v>
      </c>
      <c r="F100" s="34">
        <f>G$97</f>
        <v>0.4</v>
      </c>
      <c r="G100" s="7">
        <f>E100*F100</f>
        <v>5200</v>
      </c>
      <c r="H100" s="7">
        <f>G100</f>
        <v>5200</v>
      </c>
      <c r="I100" s="7">
        <f>G92-H100</f>
        <v>7800</v>
      </c>
    </row>
    <row r="101" spans="4:9" x14ac:dyDescent="0.25">
      <c r="D101">
        <v>2018</v>
      </c>
      <c r="E101" s="7">
        <f>I100</f>
        <v>7800</v>
      </c>
      <c r="F101" s="34">
        <f t="shared" ref="F101:F104" si="5">G$97</f>
        <v>0.4</v>
      </c>
      <c r="G101" s="7">
        <f>E101*F101</f>
        <v>3120</v>
      </c>
      <c r="H101" s="7">
        <f>H100+G101</f>
        <v>8320</v>
      </c>
      <c r="I101" s="7">
        <f>G92-H101</f>
        <v>4680</v>
      </c>
    </row>
    <row r="102" spans="4:9" x14ac:dyDescent="0.25">
      <c r="D102">
        <v>2019</v>
      </c>
      <c r="E102" s="7">
        <f>I101</f>
        <v>4680</v>
      </c>
      <c r="F102" s="34">
        <f t="shared" si="5"/>
        <v>0.4</v>
      </c>
      <c r="G102" s="7">
        <f>E102*F102</f>
        <v>1872</v>
      </c>
      <c r="H102" s="7">
        <f>H101+G102</f>
        <v>10192</v>
      </c>
      <c r="I102" s="7">
        <f>G92-H102</f>
        <v>2808</v>
      </c>
    </row>
    <row r="103" spans="4:9" x14ac:dyDescent="0.25">
      <c r="D103">
        <v>2020</v>
      </c>
      <c r="E103" s="7">
        <f>I102</f>
        <v>2808</v>
      </c>
      <c r="F103" s="34">
        <f t="shared" si="5"/>
        <v>0.4</v>
      </c>
      <c r="G103" s="7">
        <f>E103*F103</f>
        <v>1123.2</v>
      </c>
      <c r="H103" s="7">
        <f>H102+G103</f>
        <v>11315.2</v>
      </c>
      <c r="I103" s="7">
        <f>G92-H103</f>
        <v>1684.7999999999993</v>
      </c>
    </row>
    <row r="104" spans="4:9" x14ac:dyDescent="0.25">
      <c r="D104">
        <v>2021</v>
      </c>
      <c r="E104" s="7">
        <f>I103</f>
        <v>1684.7999999999993</v>
      </c>
      <c r="F104" s="34">
        <f t="shared" si="5"/>
        <v>0.4</v>
      </c>
      <c r="G104" s="7">
        <v>684.8</v>
      </c>
      <c r="H104" s="7">
        <f>H103+G104</f>
        <v>12000</v>
      </c>
      <c r="I104" s="36">
        <f>G92-H104</f>
        <v>1000</v>
      </c>
    </row>
    <row r="105" spans="4:9" x14ac:dyDescent="0.25">
      <c r="F105" s="34"/>
    </row>
    <row r="106" spans="4:9" x14ac:dyDescent="0.25">
      <c r="F106" s="34"/>
    </row>
    <row r="107" spans="4:9" x14ac:dyDescent="0.25">
      <c r="F107" s="3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Mehtod of Depreciation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 ullah</dc:creator>
  <cp:lastModifiedBy>lh8 academic</cp:lastModifiedBy>
  <dcterms:created xsi:type="dcterms:W3CDTF">2015-06-05T18:17:20Z</dcterms:created>
  <dcterms:modified xsi:type="dcterms:W3CDTF">2025-04-15T12:00:30Z</dcterms:modified>
</cp:coreProperties>
</file>