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E:\Section C\"/>
    </mc:Choice>
  </mc:AlternateContent>
  <xr:revisionPtr revIDLastSave="0" documentId="13_ncr:1_{B4B1519B-9048-4479-892A-7630F4ECC636}" xr6:coauthVersionLast="47" xr6:coauthVersionMax="47" xr10:uidLastSave="{00000000-0000-0000-0000-000000000000}"/>
  <bookViews>
    <workbookView xWindow="-120" yWindow="-120" windowWidth="29040" windowHeight="15840" activeTab="3" xr2:uid="{00000000-000D-0000-FFFF-FFFF00000000}"/>
  </bookViews>
  <sheets>
    <sheet name="Adjusting " sheetId="1" r:id="rId1"/>
    <sheet name="Type I" sheetId="2" r:id="rId2"/>
    <sheet name="Type II" sheetId="3" r:id="rId3"/>
    <sheet name="Type III" sheetId="4" r:id="rId4"/>
    <sheet name="Type IV"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4" l="1"/>
  <c r="H38" i="2"/>
  <c r="G37" i="2"/>
  <c r="D27" i="3"/>
  <c r="H18" i="5"/>
  <c r="G21" i="4"/>
  <c r="J26" i="3"/>
  <c r="J17" i="3"/>
  <c r="K20" i="2"/>
  <c r="H19" i="2"/>
  <c r="H15" i="2"/>
</calcChain>
</file>

<file path=xl/sharedStrings.xml><?xml version="1.0" encoding="utf-8"?>
<sst xmlns="http://schemas.openxmlformats.org/spreadsheetml/2006/main" count="158" uniqueCount="87">
  <si>
    <t>Accounting Cycle Step 4: Adjusting Entries</t>
  </si>
  <si>
    <t xml:space="preserve">Adjusting entries are journal entries prepared at the end of the period so that revenue and expenses are adjusted for that particular time period. Generally adjusting entries fall into 4 main categories: </t>
  </si>
  <si>
    <t>Revenue earned but not yet received or recorded.</t>
  </si>
  <si>
    <t>In this case:</t>
  </si>
  <si>
    <r>
      <t xml:space="preserve">Credit: </t>
    </r>
    <r>
      <rPr>
        <sz val="11"/>
        <color theme="1"/>
        <rFont val="Arial"/>
        <family val="2"/>
      </rPr>
      <t>Revenue</t>
    </r>
  </si>
  <si>
    <r>
      <t xml:space="preserve">Debit: </t>
    </r>
    <r>
      <rPr>
        <sz val="11"/>
        <color theme="1"/>
        <rFont val="Arial"/>
        <family val="2"/>
      </rPr>
      <t xml:space="preserve">Account Receivable </t>
    </r>
  </si>
  <si>
    <t>Expenses incurred but not yet paid or recorded.</t>
  </si>
  <si>
    <t>Example:</t>
  </si>
  <si>
    <t>Employees' wages earned in December but paid in January.</t>
  </si>
  <si>
    <t xml:space="preserve">In this Case: </t>
  </si>
  <si>
    <r>
      <rPr>
        <b/>
        <sz val="11"/>
        <color theme="1"/>
        <rFont val="Calibri"/>
        <family val="2"/>
        <scheme val="minor"/>
      </rPr>
      <t>Debit:</t>
    </r>
    <r>
      <rPr>
        <sz val="11"/>
        <color theme="1"/>
        <rFont val="Calibri"/>
        <family val="2"/>
        <scheme val="minor"/>
      </rPr>
      <t xml:space="preserve"> Wages Expense</t>
    </r>
  </si>
  <si>
    <r>
      <rPr>
        <b/>
        <sz val="11"/>
        <color theme="1"/>
        <rFont val="Calibri"/>
        <family val="2"/>
        <scheme val="minor"/>
      </rPr>
      <t>Credit:</t>
    </r>
    <r>
      <rPr>
        <sz val="11"/>
        <color theme="1"/>
        <rFont val="Calibri"/>
        <family val="2"/>
        <scheme val="minor"/>
      </rPr>
      <t xml:space="preserve"> Wage payable</t>
    </r>
  </si>
  <si>
    <t>Cash received in advance for services or goods to be provided later.</t>
  </si>
  <si>
    <r>
      <rPr>
        <b/>
        <sz val="11"/>
        <color theme="1"/>
        <rFont val="Calibri"/>
        <family val="2"/>
        <scheme val="minor"/>
      </rPr>
      <t xml:space="preserve">Credit: </t>
    </r>
    <r>
      <rPr>
        <sz val="11"/>
        <color theme="1"/>
        <rFont val="Calibri"/>
        <family val="2"/>
        <scheme val="minor"/>
      </rPr>
      <t>Service Revenue</t>
    </r>
  </si>
  <si>
    <r>
      <rPr>
        <b/>
        <sz val="11"/>
        <color theme="1"/>
        <rFont val="Calibri"/>
        <family val="2"/>
        <scheme val="minor"/>
      </rPr>
      <t>Debit:</t>
    </r>
    <r>
      <rPr>
        <sz val="11"/>
        <color theme="1"/>
        <rFont val="Calibri"/>
        <family val="2"/>
        <scheme val="minor"/>
      </rPr>
      <t xml:space="preserve"> Unearned Revenue</t>
    </r>
  </si>
  <si>
    <t>E.g. A magazine publisher receives annual subscription payments in advance.</t>
  </si>
  <si>
    <r>
      <t>•</t>
    </r>
    <r>
      <rPr>
        <b/>
        <sz val="16"/>
        <color rgb="FFFF0000"/>
        <rFont val="Calibri"/>
        <family val="2"/>
        <scheme val="minor"/>
      </rPr>
      <t>Type II: CONVERTING LIABILITIES TO REVENUE (Deffered Revenue)</t>
    </r>
  </si>
  <si>
    <r>
      <t>•</t>
    </r>
    <r>
      <rPr>
        <b/>
        <sz val="16"/>
        <color rgb="FFFF0000"/>
        <rFont val="Calibri"/>
        <family val="2"/>
        <scheme val="minor"/>
      </rPr>
      <t>TYPE I: CONVERTING ASSETS TO EXPENSES</t>
    </r>
  </si>
  <si>
    <r>
      <t>•</t>
    </r>
    <r>
      <rPr>
        <b/>
        <sz val="16"/>
        <color rgb="FFFF0000"/>
        <rFont val="Calibri"/>
        <family val="2"/>
        <scheme val="minor"/>
      </rPr>
      <t>TYPE III: ACCRUING  UNPAID  EXPENSES</t>
    </r>
  </si>
  <si>
    <r>
      <t>•</t>
    </r>
    <r>
      <rPr>
        <b/>
        <sz val="16"/>
        <color rgb="FFFF0000"/>
        <rFont val="Calibri"/>
        <family val="2"/>
        <scheme val="minor"/>
      </rPr>
      <t>TYPE IV: ACCRUING  UNCOLLECTED  REVENUE</t>
    </r>
  </si>
  <si>
    <t xml:space="preserve">Apportioning the assets to expese account over a period of time. </t>
  </si>
  <si>
    <t>Prepaids, depreciation (allocating cost of an assets over its useful life)</t>
  </si>
  <si>
    <t>E.g. Suppose that supplies used during a particular time period.</t>
  </si>
  <si>
    <t>Debit: Supplies expense</t>
  </si>
  <si>
    <t>Credit: Supplies</t>
  </si>
  <si>
    <t xml:space="preserve">Examples: </t>
  </si>
  <si>
    <t>December 1:</t>
  </si>
  <si>
    <t>Purchased $1,000 worth of cleaning supplies.</t>
  </si>
  <si>
    <t>Paid $1,200 for a 12-month insurance policy.</t>
  </si>
  <si>
    <t>December 31:</t>
  </si>
  <si>
    <t>An inventory of the cleaning supplies showed that $300 worth of supplies remained.</t>
  </si>
  <si>
    <t xml:space="preserve">Date </t>
  </si>
  <si>
    <t>Account Title and Detail</t>
  </si>
  <si>
    <t>Debit</t>
  </si>
  <si>
    <t>Credit</t>
  </si>
  <si>
    <t>Journal Entry</t>
  </si>
  <si>
    <t>"Bright Spark Cleaning Services" started operations on December 1, 2024. Here are some of their transactions:</t>
  </si>
  <si>
    <t>Cash</t>
  </si>
  <si>
    <t>Adjusting Entry</t>
  </si>
  <si>
    <t xml:space="preserve">Example: </t>
  </si>
  <si>
    <t>"StyleBox," a popular beauty subscription service, offers customers a monthly box filled with curated makeup and skincare samples. On December 1st, 2024, StyleBox ran a special promotion for a 6-month prepaid subscription. They sold 2,000 of these prepaid subscriptions at $90 each. StyleBox received the cash upfront for all subscriptions. StyleBox delivers the boxes to subscribers at the end of each month.</t>
  </si>
  <si>
    <t xml:space="preserve">Accounts Involved: </t>
  </si>
  <si>
    <t>Unearned Revenue</t>
  </si>
  <si>
    <t xml:space="preserve">Subscription revenue </t>
  </si>
  <si>
    <t>An Illustration</t>
  </si>
  <si>
    <t>"Bright Future Tutoring Services" provides academic tutoring to students.</t>
  </si>
  <si>
    <r>
      <t>Salaries:</t>
    </r>
    <r>
      <rPr>
        <sz val="11"/>
        <color theme="1"/>
        <rFont val="Calibri"/>
        <family val="2"/>
        <scheme val="minor"/>
      </rPr>
      <t xml:space="preserve"> Bright Future pays its tutors on the 5th of each month for the work they completed in the previous month. As of December 31st, 2024, the tutors had earned $3,000 in wages for work performed in December, but they will not be paid until January 5th, 2025.</t>
    </r>
  </si>
  <si>
    <r>
      <t>Utilities:</t>
    </r>
    <r>
      <rPr>
        <sz val="11"/>
        <color theme="1"/>
        <rFont val="Calibri"/>
        <family val="2"/>
        <scheme val="minor"/>
      </rPr>
      <t xml:space="preserve"> Bright Future receives its monthly utility bill in the first week of the following month. The utility bill for December 2024 was received on January 8th, 2025, and it amounted to $500.</t>
    </r>
  </si>
  <si>
    <t>Dec. 1</t>
  </si>
  <si>
    <t>Supplies</t>
  </si>
  <si>
    <t xml:space="preserve">Prepaid Insurance </t>
  </si>
  <si>
    <t>Dec. 31</t>
  </si>
  <si>
    <t xml:space="preserve">Supplies used = total supplies - remaining supplies </t>
  </si>
  <si>
    <t xml:space="preserve">Supplies used = $1000 - $300 = $700 </t>
  </si>
  <si>
    <t>Monthly Insurance expense = Prepaid 12 month insurance / 12</t>
  </si>
  <si>
    <t>Monthly Insurance expense = $1200 / 12 = $100</t>
  </si>
  <si>
    <t>A freelance web developer, Sarah, completed a website for a client on December 28th. The agreed-upon price was $2,500. Sarah sent the invoice to the client on January 5th of the following year.</t>
  </si>
  <si>
    <t>TYPE IV: ACCRUING  UNCOLLECTED  REVENUE (Accrued Revenue)</t>
  </si>
  <si>
    <r>
      <t>•</t>
    </r>
    <r>
      <rPr>
        <b/>
        <sz val="16"/>
        <color rgb="FFFF0000"/>
        <rFont val="Calibri"/>
        <family val="2"/>
        <scheme val="minor"/>
      </rPr>
      <t>TYPE III: ACCRUING  UNPAID  EXPENSES (Accrued Expenses)</t>
    </r>
  </si>
  <si>
    <t>Calculations</t>
  </si>
  <si>
    <r>
      <t>1. Total Cash Received:</t>
    </r>
    <r>
      <rPr>
        <sz val="11"/>
        <color theme="1"/>
        <rFont val="Calibri"/>
        <family val="2"/>
        <scheme val="minor"/>
      </rPr>
      <t xml:space="preserve"> 2,000 subscriptions * $90/subscription = $180,000</t>
    </r>
  </si>
  <si>
    <r>
      <t>2. Revenue Per Month (Per Subscription):</t>
    </r>
    <r>
      <rPr>
        <sz val="11"/>
        <color theme="1"/>
        <rFont val="Calibri"/>
        <family val="2"/>
        <scheme val="minor"/>
      </rPr>
      <t xml:space="preserve"> $90 / 6 months = $15/month</t>
    </r>
  </si>
  <si>
    <r>
      <t>3. Total Revenue Earned in December:</t>
    </r>
    <r>
      <rPr>
        <sz val="11"/>
        <color theme="1"/>
        <rFont val="Calibri"/>
        <family val="2"/>
        <scheme val="minor"/>
      </rPr>
      <t xml:space="preserve"> 2,000 subscriptions * $15/month = $30,000</t>
    </r>
  </si>
  <si>
    <t>(purchased cleaning supplies)</t>
  </si>
  <si>
    <t xml:space="preserve">prepaid insurance </t>
  </si>
  <si>
    <t>monthly</t>
  </si>
  <si>
    <t>Unearned Reveneu</t>
  </si>
  <si>
    <t>Subscription revenue</t>
  </si>
  <si>
    <t>Wage Expense</t>
  </si>
  <si>
    <t>Wage Payable</t>
  </si>
  <si>
    <t>Utility Expense</t>
  </si>
  <si>
    <t>Utility Payable</t>
  </si>
  <si>
    <t>Account receivable</t>
  </si>
  <si>
    <t>Client Revenue</t>
  </si>
  <si>
    <t>Jan. 15</t>
  </si>
  <si>
    <t>Account Receivable</t>
  </si>
  <si>
    <t xml:space="preserve">Journal entry when cash is actually collected </t>
  </si>
  <si>
    <t>Date</t>
  </si>
  <si>
    <t xml:space="preserve">Debit </t>
  </si>
  <si>
    <t>total revenue earned in december</t>
  </si>
  <si>
    <t>Supplies expense</t>
  </si>
  <si>
    <t>(Adjusting entries for supplies expense)</t>
  </si>
  <si>
    <t>Insurance expense</t>
  </si>
  <si>
    <t>Prepaid insurance</t>
  </si>
  <si>
    <t>Jan. 31</t>
  </si>
  <si>
    <t>Suppose the wage is paid on 5th of jan. then the journal entry will be as follows :</t>
  </si>
  <si>
    <t>Jan.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</si>
</sst>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4" x14ac:knownFonts="1">
    <font>
      <sz val="11"/>
      <color theme="1"/>
      <name val="Calibri"/>
      <family val="2"/>
      <scheme val="minor"/>
    </font>
    <font>
      <sz val="28"/>
      <color theme="1"/>
      <name val="Arial"/>
      <family val="2"/>
    </font>
    <font>
      <sz val="11"/>
      <color theme="1"/>
      <name val="Arial"/>
      <family val="2"/>
    </font>
    <font>
      <sz val="14"/>
      <color theme="1"/>
      <name val="Calibri"/>
      <family val="2"/>
      <scheme val="minor"/>
    </font>
    <font>
      <sz val="14"/>
      <color theme="1"/>
      <name val="Arial"/>
      <family val="2"/>
    </font>
    <font>
      <sz val="26"/>
      <color rgb="FF000000"/>
      <name val="Calibri"/>
      <family val="2"/>
      <scheme val="minor"/>
    </font>
    <font>
      <sz val="12"/>
      <color theme="1"/>
      <name val="Arial"/>
      <family val="2"/>
    </font>
    <font>
      <b/>
      <sz val="11"/>
      <color theme="1"/>
      <name val="Calibri"/>
      <family val="2"/>
      <scheme val="minor"/>
    </font>
    <font>
      <b/>
      <sz val="11"/>
      <color theme="1"/>
      <name val="Arial"/>
      <family val="2"/>
    </font>
    <font>
      <sz val="16"/>
      <color theme="1"/>
      <name val="Arial"/>
      <family val="2"/>
    </font>
    <font>
      <b/>
      <sz val="16"/>
      <color rgb="FFFF0000"/>
      <name val="Calibri"/>
      <family val="2"/>
      <scheme val="minor"/>
    </font>
    <font>
      <b/>
      <sz val="18"/>
      <name val="Calibri"/>
      <family val="2"/>
      <scheme val="minor"/>
    </font>
    <font>
      <sz val="11"/>
      <name val="Calibri"/>
      <family val="2"/>
      <scheme val="minor"/>
    </font>
    <font>
      <sz val="12"/>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4" fillId="0" borderId="0" xfId="0" applyFont="1" applyAlignment="1">
      <alignment horizontal="justify" vertical="center" readingOrder="1"/>
    </xf>
    <xf numFmtId="0" fontId="7" fillId="0" borderId="0" xfId="0" applyFont="1"/>
    <xf numFmtId="0" fontId="0" fillId="0" borderId="0" xfId="0" applyAlignment="1">
      <alignment horizontal="left" vertical="center" indent="1"/>
    </xf>
    <xf numFmtId="0" fontId="3" fillId="2" borderId="0" xfId="0" applyFont="1" applyFill="1"/>
    <xf numFmtId="0" fontId="0" fillId="2" borderId="0" xfId="0" applyFill="1"/>
    <xf numFmtId="0" fontId="3" fillId="3" borderId="0" xfId="0" applyFont="1" applyFill="1"/>
    <xf numFmtId="0" fontId="0" fillId="3" borderId="0" xfId="0" applyFill="1"/>
    <xf numFmtId="0" fontId="1" fillId="3" borderId="0" xfId="0" applyFont="1" applyFill="1" applyAlignment="1">
      <alignment horizontal="left" vertical="center" indent="2" readingOrder="1"/>
    </xf>
    <xf numFmtId="0" fontId="0" fillId="4" borderId="0" xfId="0" applyFill="1"/>
    <xf numFmtId="0" fontId="7" fillId="4" borderId="0" xfId="0" applyFont="1" applyFill="1"/>
    <xf numFmtId="0" fontId="0" fillId="4" borderId="0" xfId="0" applyFill="1" applyAlignment="1">
      <alignment horizontal="left" vertical="center" indent="1"/>
    </xf>
    <xf numFmtId="0" fontId="6" fillId="5" borderId="0" xfId="0" applyFont="1" applyFill="1" applyAlignment="1">
      <alignment horizontal="justify" vertical="center" readingOrder="1"/>
    </xf>
    <xf numFmtId="0" fontId="0" fillId="5" borderId="0" xfId="0" applyFill="1"/>
    <xf numFmtId="0" fontId="5" fillId="5" borderId="0" xfId="0" applyFont="1" applyFill="1"/>
    <xf numFmtId="0" fontId="8" fillId="5" borderId="0" xfId="0" applyFont="1" applyFill="1" applyAlignment="1">
      <alignment horizontal="justify" vertical="center" readingOrder="1"/>
    </xf>
    <xf numFmtId="0" fontId="9" fillId="3" borderId="0" xfId="0" applyFont="1" applyFill="1" applyAlignment="1">
      <alignment horizontal="justify" vertical="center" readingOrder="1"/>
    </xf>
    <xf numFmtId="0" fontId="9" fillId="2" borderId="0" xfId="0" applyFont="1" applyFill="1" applyAlignment="1">
      <alignment horizontal="justify" vertical="center" readingOrder="1"/>
    </xf>
    <xf numFmtId="0" fontId="9" fillId="4" borderId="0" xfId="0" applyFont="1" applyFill="1" applyAlignment="1">
      <alignment horizontal="justify" vertical="center" readingOrder="1"/>
    </xf>
    <xf numFmtId="0" fontId="9" fillId="5" borderId="0" xfId="0" applyFont="1" applyFill="1" applyAlignment="1">
      <alignment horizontal="justify" vertical="center" readingOrder="1"/>
    </xf>
    <xf numFmtId="0" fontId="11" fillId="6" borderId="0" xfId="0" applyFont="1" applyFill="1"/>
    <xf numFmtId="0" fontId="12" fillId="6" borderId="0" xfId="0" applyFont="1" applyFill="1"/>
    <xf numFmtId="0" fontId="7"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wrapText="1"/>
    </xf>
    <xf numFmtId="0" fontId="13" fillId="0" borderId="0" xfId="0" applyFont="1" applyAlignment="1">
      <alignment wrapText="1"/>
    </xf>
    <xf numFmtId="0" fontId="7" fillId="0" borderId="1" xfId="0" applyFont="1" applyBorder="1"/>
    <xf numFmtId="0" fontId="0" fillId="0" borderId="1" xfId="0" applyBorder="1"/>
    <xf numFmtId="6" fontId="0" fillId="0" borderId="1" xfId="0" applyNumberFormat="1" applyBorder="1"/>
    <xf numFmtId="0" fontId="7" fillId="0" borderId="0" xfId="0" applyFont="1" applyAlignment="1">
      <alignment horizontal="left" vertical="center" wrapText="1"/>
    </xf>
    <xf numFmtId="0" fontId="10" fillId="5" borderId="0" xfId="0" applyFont="1" applyFill="1" applyAlignment="1">
      <alignment horizontal="justify" vertical="center" readingOrder="1"/>
    </xf>
    <xf numFmtId="0" fontId="0" fillId="0" borderId="0" xfId="0" applyAlignment="1">
      <alignment horizontal="left" vertical="center" wrapText="1" indent="1"/>
    </xf>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702469</xdr:colOff>
      <xdr:row>28</xdr:row>
      <xdr:rowOff>125016</xdr:rowOff>
    </xdr:from>
    <xdr:to>
      <xdr:col>8</xdr:col>
      <xdr:colOff>583406</xdr:colOff>
      <xdr:row>29</xdr:row>
      <xdr:rowOff>101203</xdr:rowOff>
    </xdr:to>
    <xdr:cxnSp macro="">
      <xdr:nvCxnSpPr>
        <xdr:cNvPr id="3" name="Straight Arrow Connector 2">
          <a:extLst>
            <a:ext uri="{FF2B5EF4-FFF2-40B4-BE49-F238E27FC236}">
              <a16:creationId xmlns:a16="http://schemas.microsoft.com/office/drawing/2014/main" id="{5CC3809E-08DF-F4F7-9706-0AC687D44C7C}"/>
            </a:ext>
          </a:extLst>
        </xdr:cNvPr>
        <xdr:cNvCxnSpPr/>
      </xdr:nvCxnSpPr>
      <xdr:spPr>
        <a:xfrm flipH="1">
          <a:off x="11959828" y="5661422"/>
          <a:ext cx="1238250" cy="1666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29766</xdr:colOff>
      <xdr:row>33</xdr:row>
      <xdr:rowOff>89297</xdr:rowOff>
    </xdr:from>
    <xdr:to>
      <xdr:col>9</xdr:col>
      <xdr:colOff>5953</xdr:colOff>
      <xdr:row>33</xdr:row>
      <xdr:rowOff>101203</xdr:rowOff>
    </xdr:to>
    <xdr:cxnSp macro="">
      <xdr:nvCxnSpPr>
        <xdr:cNvPr id="6" name="Straight Arrow Connector 5">
          <a:extLst>
            <a:ext uri="{FF2B5EF4-FFF2-40B4-BE49-F238E27FC236}">
              <a16:creationId xmlns:a16="http://schemas.microsoft.com/office/drawing/2014/main" id="{B14E9445-1E23-A14E-C54D-FBE703E6CD3D}"/>
            </a:ext>
          </a:extLst>
        </xdr:cNvPr>
        <xdr:cNvCxnSpPr/>
      </xdr:nvCxnSpPr>
      <xdr:spPr>
        <a:xfrm flipH="1" flipV="1">
          <a:off x="12037219" y="6578203"/>
          <a:ext cx="1190625" cy="119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2"/>
  <sheetViews>
    <sheetView topLeftCell="A5" zoomScale="220" zoomScaleNormal="220" workbookViewId="0">
      <selection activeCell="A26" sqref="A26:B31"/>
    </sheetView>
  </sheetViews>
  <sheetFormatPr defaultRowHeight="15" x14ac:dyDescent="0.25"/>
  <cols>
    <col min="2" max="2" width="52.7109375" customWidth="1"/>
    <col min="3" max="5" width="26.85546875" customWidth="1"/>
  </cols>
  <sheetData>
    <row r="1" spans="2:9" ht="23.25" x14ac:dyDescent="0.35">
      <c r="B1" s="20" t="s">
        <v>0</v>
      </c>
      <c r="C1" s="21"/>
    </row>
    <row r="2" spans="2:9" ht="125.25" customHeight="1" x14ac:dyDescent="0.25">
      <c r="B2" s="1" t="s">
        <v>1</v>
      </c>
    </row>
    <row r="3" spans="2:9" s="5" customFormat="1" ht="42" x14ac:dyDescent="0.3">
      <c r="B3" s="17" t="s">
        <v>17</v>
      </c>
      <c r="C3" s="4"/>
      <c r="D3" s="4"/>
      <c r="E3" s="4"/>
      <c r="F3" s="4"/>
      <c r="G3" s="4"/>
      <c r="H3" s="4"/>
      <c r="I3" s="4"/>
    </row>
    <row r="4" spans="2:9" s="5" customFormat="1" ht="31.5" customHeight="1" x14ac:dyDescent="0.3">
      <c r="B4" s="5" t="s">
        <v>20</v>
      </c>
      <c r="D4" s="4"/>
      <c r="E4" s="4"/>
      <c r="F4" s="4"/>
      <c r="G4" s="4"/>
      <c r="H4" s="4"/>
      <c r="I4" s="4"/>
    </row>
    <row r="5" spans="2:9" s="5" customFormat="1" ht="33.75" customHeight="1" x14ac:dyDescent="0.25">
      <c r="B5" s="5" t="s">
        <v>21</v>
      </c>
    </row>
    <row r="6" spans="2:9" s="5" customFormat="1" ht="36" customHeight="1" x14ac:dyDescent="0.25">
      <c r="B6" s="5" t="s">
        <v>22</v>
      </c>
    </row>
    <row r="7" spans="2:9" s="5" customFormat="1" x14ac:dyDescent="0.25">
      <c r="B7" s="5" t="s">
        <v>3</v>
      </c>
    </row>
    <row r="8" spans="2:9" s="5" customFormat="1" x14ac:dyDescent="0.25">
      <c r="B8" s="5" t="s">
        <v>23</v>
      </c>
    </row>
    <row r="9" spans="2:9" s="5" customFormat="1" x14ac:dyDescent="0.25">
      <c r="B9" s="5" t="s">
        <v>24</v>
      </c>
    </row>
    <row r="10" spans="2:9" s="7" customFormat="1" ht="42" x14ac:dyDescent="0.3">
      <c r="B10" s="16" t="s">
        <v>16</v>
      </c>
      <c r="C10" s="6"/>
    </row>
    <row r="11" spans="2:9" s="7" customFormat="1" ht="34.5" x14ac:dyDescent="0.25">
      <c r="B11" s="7" t="s">
        <v>12</v>
      </c>
      <c r="C11" s="8"/>
    </row>
    <row r="12" spans="2:9" s="7" customFormat="1" x14ac:dyDescent="0.25">
      <c r="B12" s="7" t="s">
        <v>15</v>
      </c>
    </row>
    <row r="13" spans="2:9" s="7" customFormat="1" x14ac:dyDescent="0.25"/>
    <row r="14" spans="2:9" s="7" customFormat="1" x14ac:dyDescent="0.25">
      <c r="B14" s="7" t="s">
        <v>14</v>
      </c>
    </row>
    <row r="15" spans="2:9" s="7" customFormat="1" x14ac:dyDescent="0.25">
      <c r="B15" s="7" t="s">
        <v>13</v>
      </c>
    </row>
    <row r="16" spans="2:9" s="9" customFormat="1" ht="21" x14ac:dyDescent="0.25">
      <c r="B16" s="18" t="s">
        <v>18</v>
      </c>
    </row>
    <row r="17" spans="2:3" s="9" customFormat="1" x14ac:dyDescent="0.25">
      <c r="B17" s="9" t="s">
        <v>6</v>
      </c>
    </row>
    <row r="18" spans="2:3" s="9" customFormat="1" x14ac:dyDescent="0.25">
      <c r="B18" s="10" t="s">
        <v>7</v>
      </c>
    </row>
    <row r="19" spans="2:3" s="9" customFormat="1" x14ac:dyDescent="0.25">
      <c r="B19" s="11"/>
    </row>
    <row r="20" spans="2:3" s="9" customFormat="1" x14ac:dyDescent="0.25">
      <c r="B20" s="11" t="s">
        <v>8</v>
      </c>
    </row>
    <row r="21" spans="2:3" s="9" customFormat="1" x14ac:dyDescent="0.25">
      <c r="B21" s="9" t="s">
        <v>9</v>
      </c>
    </row>
    <row r="22" spans="2:3" s="9" customFormat="1" x14ac:dyDescent="0.25">
      <c r="B22" s="9" t="s">
        <v>10</v>
      </c>
    </row>
    <row r="23" spans="2:3" s="9" customFormat="1" x14ac:dyDescent="0.25">
      <c r="B23" s="9" t="s">
        <v>11</v>
      </c>
    </row>
    <row r="24" spans="2:3" s="9" customFormat="1" x14ac:dyDescent="0.25"/>
    <row r="25" spans="2:3" s="9" customFormat="1" x14ac:dyDescent="0.25"/>
    <row r="26" spans="2:3" s="13" customFormat="1" ht="42" x14ac:dyDescent="0.25">
      <c r="B26" s="19" t="s">
        <v>19</v>
      </c>
      <c r="C26" s="12"/>
    </row>
    <row r="27" spans="2:3" s="13" customFormat="1" ht="33.75" x14ac:dyDescent="0.5">
      <c r="B27" s="13" t="s">
        <v>2</v>
      </c>
      <c r="C27" s="14"/>
    </row>
    <row r="28" spans="2:3" s="13" customFormat="1" x14ac:dyDescent="0.25">
      <c r="B28" s="13" t="s">
        <v>3</v>
      </c>
    </row>
    <row r="29" spans="2:3" s="13" customFormat="1" x14ac:dyDescent="0.25">
      <c r="B29" s="15" t="s">
        <v>5</v>
      </c>
    </row>
    <row r="30" spans="2:3" s="13" customFormat="1" x14ac:dyDescent="0.25">
      <c r="B30" s="15" t="s">
        <v>4</v>
      </c>
    </row>
    <row r="31" spans="2:3" s="13" customFormat="1" x14ac:dyDescent="0.25"/>
    <row r="32" spans="2:3" s="13" customFormat="1" x14ac:dyDescent="0.25"/>
  </sheetData>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87F5-1C68-4DE7-BF7B-A70F31099C48}">
  <dimension ref="B2:K39"/>
  <sheetViews>
    <sheetView topLeftCell="B27" zoomScale="220" zoomScaleNormal="220" workbookViewId="0">
      <selection activeCell="F38" sqref="F38"/>
    </sheetView>
  </sheetViews>
  <sheetFormatPr defaultRowHeight="15" x14ac:dyDescent="0.25"/>
  <cols>
    <col min="2" max="2" width="53.85546875" customWidth="1"/>
    <col min="3" max="3" width="12.5703125" customWidth="1"/>
    <col min="4" max="4" width="11.140625" customWidth="1"/>
    <col min="5" max="5" width="13.85546875" customWidth="1"/>
    <col min="6" max="6" width="13.5703125" customWidth="1"/>
    <col min="7" max="7" width="11.28515625" customWidth="1"/>
  </cols>
  <sheetData>
    <row r="2" spans="2:8" ht="36" customHeight="1" x14ac:dyDescent="0.3">
      <c r="B2" s="17" t="s">
        <v>17</v>
      </c>
      <c r="C2" s="4"/>
    </row>
    <row r="3" spans="2:8" x14ac:dyDescent="0.25">
      <c r="B3" s="5" t="s">
        <v>20</v>
      </c>
      <c r="C3" s="5"/>
    </row>
    <row r="4" spans="2:8" x14ac:dyDescent="0.25">
      <c r="B4" s="5" t="s">
        <v>21</v>
      </c>
      <c r="C4" s="5"/>
    </row>
    <row r="5" spans="2:8" x14ac:dyDescent="0.25">
      <c r="B5" s="5" t="s">
        <v>22</v>
      </c>
      <c r="C5" s="5"/>
    </row>
    <row r="6" spans="2:8" x14ac:dyDescent="0.25">
      <c r="B6" s="5" t="s">
        <v>3</v>
      </c>
      <c r="C6" s="5"/>
    </row>
    <row r="7" spans="2:8" x14ac:dyDescent="0.25">
      <c r="B7" s="5" t="s">
        <v>23</v>
      </c>
      <c r="C7" s="5"/>
    </row>
    <row r="8" spans="2:8" x14ac:dyDescent="0.25">
      <c r="B8" s="5" t="s">
        <v>24</v>
      </c>
      <c r="C8" s="5"/>
    </row>
    <row r="11" spans="2:8" x14ac:dyDescent="0.25">
      <c r="B11" s="5" t="s">
        <v>25</v>
      </c>
      <c r="E11" s="2" t="s">
        <v>35</v>
      </c>
    </row>
    <row r="12" spans="2:8" ht="30" x14ac:dyDescent="0.25">
      <c r="B12" s="24" t="s">
        <v>36</v>
      </c>
      <c r="D12" s="26" t="s">
        <v>31</v>
      </c>
      <c r="E12" s="26" t="s">
        <v>32</v>
      </c>
      <c r="F12" s="27"/>
      <c r="G12" s="26" t="s">
        <v>33</v>
      </c>
      <c r="H12" s="26" t="s">
        <v>34</v>
      </c>
    </row>
    <row r="13" spans="2:8" x14ac:dyDescent="0.25">
      <c r="B13" s="3"/>
      <c r="D13" s="27">
        <v>2024</v>
      </c>
      <c r="E13" s="27"/>
      <c r="F13" s="27"/>
      <c r="G13" s="27"/>
      <c r="H13" s="27"/>
    </row>
    <row r="14" spans="2:8" x14ac:dyDescent="0.25">
      <c r="B14" s="22" t="s">
        <v>26</v>
      </c>
      <c r="D14" s="27" t="s">
        <v>48</v>
      </c>
      <c r="E14" s="27" t="s">
        <v>49</v>
      </c>
      <c r="F14" s="27"/>
      <c r="G14" s="28">
        <v>1000</v>
      </c>
      <c r="H14" s="27"/>
    </row>
    <row r="15" spans="2:8" x14ac:dyDescent="0.25">
      <c r="B15" s="23" t="s">
        <v>27</v>
      </c>
      <c r="D15" s="27"/>
      <c r="E15" s="27"/>
      <c r="F15" s="27" t="s">
        <v>37</v>
      </c>
      <c r="G15" s="27"/>
      <c r="H15" s="28">
        <f>G14</f>
        <v>1000</v>
      </c>
    </row>
    <row r="16" spans="2:8" x14ac:dyDescent="0.25">
      <c r="B16" s="23" t="s">
        <v>28</v>
      </c>
      <c r="D16" s="27"/>
      <c r="E16" s="27" t="s">
        <v>63</v>
      </c>
      <c r="F16" s="27"/>
      <c r="G16" s="27"/>
      <c r="H16" s="27"/>
    </row>
    <row r="17" spans="2:11" x14ac:dyDescent="0.25">
      <c r="B17" s="2" t="s">
        <v>29</v>
      </c>
      <c r="D17" s="27"/>
      <c r="E17" s="27"/>
      <c r="F17" s="27"/>
      <c r="G17" s="28"/>
      <c r="H17" s="27"/>
    </row>
    <row r="18" spans="2:11" ht="30" x14ac:dyDescent="0.25">
      <c r="B18" s="31" t="s">
        <v>30</v>
      </c>
      <c r="D18" s="27" t="s">
        <v>48</v>
      </c>
      <c r="E18" s="27" t="s">
        <v>50</v>
      </c>
      <c r="F18" s="27"/>
      <c r="G18" s="28">
        <v>1200</v>
      </c>
      <c r="H18" s="28"/>
    </row>
    <row r="19" spans="2:11" x14ac:dyDescent="0.25">
      <c r="D19" s="27"/>
      <c r="E19" s="27"/>
      <c r="F19" s="27" t="s">
        <v>37</v>
      </c>
      <c r="G19" s="27"/>
      <c r="H19" s="28">
        <f>G18</f>
        <v>1200</v>
      </c>
      <c r="J19" t="s">
        <v>64</v>
      </c>
      <c r="K19" s="32">
        <v>1200</v>
      </c>
    </row>
    <row r="20" spans="2:11" x14ac:dyDescent="0.25">
      <c r="D20" s="27"/>
      <c r="E20" s="27"/>
      <c r="F20" s="27"/>
      <c r="G20" s="27"/>
      <c r="H20" s="27"/>
      <c r="J20" t="s">
        <v>65</v>
      </c>
      <c r="K20" s="32">
        <f>K19/12</f>
        <v>100</v>
      </c>
    </row>
    <row r="21" spans="2:11" x14ac:dyDescent="0.25">
      <c r="D21" s="27"/>
      <c r="E21" s="27"/>
      <c r="F21" s="27"/>
      <c r="G21" s="27"/>
      <c r="H21" s="27"/>
    </row>
    <row r="22" spans="2:11" x14ac:dyDescent="0.25">
      <c r="D22" s="27"/>
      <c r="E22" s="27"/>
      <c r="F22" s="27"/>
      <c r="G22" s="27"/>
      <c r="H22" s="27"/>
    </row>
    <row r="23" spans="2:11" x14ac:dyDescent="0.25">
      <c r="D23" s="27"/>
      <c r="E23" s="27"/>
      <c r="F23" s="27"/>
      <c r="G23" s="27"/>
      <c r="H23" s="27"/>
    </row>
    <row r="24" spans="2:11" x14ac:dyDescent="0.25">
      <c r="D24" s="27"/>
      <c r="E24" s="27"/>
      <c r="F24" s="27"/>
      <c r="G24" s="27"/>
      <c r="H24" s="27"/>
    </row>
    <row r="27" spans="2:11" x14ac:dyDescent="0.25">
      <c r="E27" s="2" t="s">
        <v>38</v>
      </c>
    </row>
    <row r="28" spans="2:11" x14ac:dyDescent="0.25">
      <c r="D28" s="26" t="s">
        <v>31</v>
      </c>
      <c r="E28" s="26" t="s">
        <v>32</v>
      </c>
      <c r="F28" s="27"/>
      <c r="G28" s="26" t="s">
        <v>33</v>
      </c>
      <c r="H28" s="26" t="s">
        <v>34</v>
      </c>
    </row>
    <row r="29" spans="2:11" x14ac:dyDescent="0.25">
      <c r="D29" s="27">
        <v>2024</v>
      </c>
      <c r="E29" s="27"/>
      <c r="F29" s="27"/>
      <c r="G29" s="28"/>
      <c r="H29" s="27"/>
      <c r="J29" t="s">
        <v>52</v>
      </c>
    </row>
    <row r="30" spans="2:11" x14ac:dyDescent="0.25">
      <c r="D30" s="27" t="s">
        <v>51</v>
      </c>
      <c r="E30" s="27" t="s">
        <v>80</v>
      </c>
      <c r="F30" s="27"/>
      <c r="G30" s="28">
        <v>700</v>
      </c>
      <c r="H30" s="28"/>
      <c r="J30" t="s">
        <v>53</v>
      </c>
    </row>
    <row r="31" spans="2:11" x14ac:dyDescent="0.25">
      <c r="D31" s="27"/>
      <c r="E31" s="27"/>
      <c r="F31" s="27" t="s">
        <v>49</v>
      </c>
      <c r="G31" s="27"/>
      <c r="H31" s="28">
        <v>700</v>
      </c>
    </row>
    <row r="32" spans="2:11" x14ac:dyDescent="0.25">
      <c r="D32" s="27"/>
      <c r="E32" s="27" t="s">
        <v>81</v>
      </c>
      <c r="F32" s="27"/>
      <c r="G32" s="27"/>
      <c r="H32" s="27"/>
    </row>
    <row r="33" spans="4:10" x14ac:dyDescent="0.25">
      <c r="D33" s="27"/>
      <c r="E33" s="27"/>
      <c r="F33" s="27"/>
      <c r="G33" s="28"/>
      <c r="H33" s="27"/>
    </row>
    <row r="34" spans="4:10" x14ac:dyDescent="0.25">
      <c r="D34" s="27" t="s">
        <v>51</v>
      </c>
      <c r="E34" s="27" t="s">
        <v>82</v>
      </c>
      <c r="F34" s="27"/>
      <c r="G34" s="28">
        <v>100</v>
      </c>
      <c r="H34" s="28"/>
      <c r="J34" t="s">
        <v>54</v>
      </c>
    </row>
    <row r="35" spans="4:10" x14ac:dyDescent="0.25">
      <c r="D35" s="27"/>
      <c r="E35" s="27"/>
      <c r="F35" s="27" t="s">
        <v>83</v>
      </c>
      <c r="G35" s="27"/>
      <c r="H35" s="28">
        <v>100</v>
      </c>
      <c r="J35" t="s">
        <v>55</v>
      </c>
    </row>
    <row r="36" spans="4:10" x14ac:dyDescent="0.25">
      <c r="D36" s="27"/>
      <c r="E36" s="27"/>
      <c r="F36" s="27"/>
      <c r="G36" s="27"/>
      <c r="H36" s="27"/>
    </row>
    <row r="37" spans="4:10" x14ac:dyDescent="0.25">
      <c r="D37" s="27" t="s">
        <v>84</v>
      </c>
      <c r="E37" s="27" t="s">
        <v>82</v>
      </c>
      <c r="F37" s="27"/>
      <c r="G37" s="28">
        <f>G34</f>
        <v>100</v>
      </c>
      <c r="H37" s="27"/>
    </row>
    <row r="38" spans="4:10" x14ac:dyDescent="0.25">
      <c r="D38" s="27"/>
      <c r="E38" s="27"/>
      <c r="F38" s="27" t="s">
        <v>83</v>
      </c>
      <c r="G38" s="27"/>
      <c r="H38" s="28">
        <f>H35</f>
        <v>100</v>
      </c>
    </row>
    <row r="39" spans="4:10" x14ac:dyDescent="0.25">
      <c r="D39" s="27"/>
      <c r="E39" s="27"/>
      <c r="F39" s="27"/>
      <c r="G39" s="27"/>
      <c r="H39" s="2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DD3C-904F-4ADE-84D6-196694454A84}">
  <dimension ref="B2:J28"/>
  <sheetViews>
    <sheetView topLeftCell="C12" zoomScale="180" zoomScaleNormal="180" workbookViewId="0">
      <selection activeCell="J26" sqref="J26"/>
    </sheetView>
  </sheetViews>
  <sheetFormatPr defaultRowHeight="15" x14ac:dyDescent="0.25"/>
  <cols>
    <col min="3" max="3" width="70.7109375" bestFit="1" customWidth="1"/>
    <col min="7" max="7" width="13.5703125" customWidth="1"/>
    <col min="8" max="8" width="15.7109375" customWidth="1"/>
  </cols>
  <sheetData>
    <row r="2" spans="2:10" ht="65.25" customHeight="1" x14ac:dyDescent="0.3">
      <c r="B2" s="7"/>
      <c r="C2" s="16" t="s">
        <v>16</v>
      </c>
      <c r="D2" s="6"/>
    </row>
    <row r="3" spans="2:10" ht="20.25" customHeight="1" x14ac:dyDescent="0.25">
      <c r="B3" s="7"/>
      <c r="C3" s="7" t="s">
        <v>12</v>
      </c>
      <c r="D3" s="8"/>
    </row>
    <row r="4" spans="2:10" x14ac:dyDescent="0.25">
      <c r="B4" s="7"/>
      <c r="C4" s="7" t="s">
        <v>15</v>
      </c>
      <c r="D4" s="7"/>
    </row>
    <row r="5" spans="2:10" x14ac:dyDescent="0.25">
      <c r="B5" s="7"/>
      <c r="C5" s="7"/>
      <c r="D5" s="7"/>
    </row>
    <row r="6" spans="2:10" x14ac:dyDescent="0.25">
      <c r="B6" s="7"/>
      <c r="C6" s="7" t="s">
        <v>14</v>
      </c>
      <c r="D6" s="7"/>
    </row>
    <row r="7" spans="2:10" x14ac:dyDescent="0.25">
      <c r="B7" s="7"/>
      <c r="C7" s="7" t="s">
        <v>13</v>
      </c>
      <c r="D7" s="7"/>
    </row>
    <row r="10" spans="2:10" x14ac:dyDescent="0.25">
      <c r="C10" s="2" t="s">
        <v>39</v>
      </c>
    </row>
    <row r="11" spans="2:10" ht="94.5" x14ac:dyDescent="0.25">
      <c r="C11" s="25" t="s">
        <v>40</v>
      </c>
    </row>
    <row r="13" spans="2:10" x14ac:dyDescent="0.25">
      <c r="C13" t="s">
        <v>41</v>
      </c>
      <c r="F13" s="27"/>
      <c r="G13" s="26" t="s">
        <v>35</v>
      </c>
      <c r="H13" s="27"/>
      <c r="I13" s="27"/>
      <c r="J13" s="27"/>
    </row>
    <row r="14" spans="2:10" x14ac:dyDescent="0.25">
      <c r="F14" s="26" t="s">
        <v>31</v>
      </c>
      <c r="G14" s="26" t="s">
        <v>32</v>
      </c>
      <c r="H14" s="27"/>
      <c r="I14" s="26" t="s">
        <v>33</v>
      </c>
      <c r="J14" s="26" t="s">
        <v>34</v>
      </c>
    </row>
    <row r="15" spans="2:10" x14ac:dyDescent="0.25">
      <c r="C15" t="s">
        <v>37</v>
      </c>
      <c r="F15" s="27">
        <v>2024</v>
      </c>
      <c r="G15" s="27"/>
      <c r="H15" s="27"/>
      <c r="I15" s="27"/>
      <c r="J15" s="27"/>
    </row>
    <row r="16" spans="2:10" x14ac:dyDescent="0.25">
      <c r="C16" t="s">
        <v>42</v>
      </c>
      <c r="F16" s="27" t="s">
        <v>48</v>
      </c>
      <c r="G16" s="27" t="s">
        <v>37</v>
      </c>
      <c r="H16" s="27"/>
      <c r="I16" s="28">
        <v>180000</v>
      </c>
      <c r="J16" s="27"/>
    </row>
    <row r="17" spans="3:10" x14ac:dyDescent="0.25">
      <c r="C17" t="s">
        <v>43</v>
      </c>
      <c r="F17" s="27"/>
      <c r="G17" s="27"/>
      <c r="H17" s="27" t="s">
        <v>66</v>
      </c>
      <c r="I17" s="27"/>
      <c r="J17" s="28">
        <f>I16</f>
        <v>180000</v>
      </c>
    </row>
    <row r="18" spans="3:10" x14ac:dyDescent="0.25">
      <c r="F18" s="27"/>
      <c r="G18" s="27"/>
      <c r="H18" s="27"/>
      <c r="I18" s="27"/>
      <c r="J18" s="27"/>
    </row>
    <row r="19" spans="3:10" x14ac:dyDescent="0.25">
      <c r="F19" s="27"/>
      <c r="G19" s="27"/>
      <c r="H19" s="27"/>
      <c r="I19" s="27"/>
      <c r="J19" s="27"/>
    </row>
    <row r="20" spans="3:10" x14ac:dyDescent="0.25">
      <c r="C20" s="2" t="s">
        <v>59</v>
      </c>
      <c r="F20" s="27"/>
      <c r="G20" s="27"/>
      <c r="H20" s="27"/>
      <c r="I20" s="28"/>
      <c r="J20" s="27"/>
    </row>
    <row r="21" spans="3:10" x14ac:dyDescent="0.25">
      <c r="C21" s="3"/>
      <c r="F21" s="27"/>
      <c r="G21" s="27"/>
      <c r="H21" s="27"/>
      <c r="I21" s="27"/>
      <c r="J21" s="28"/>
    </row>
    <row r="22" spans="3:10" x14ac:dyDescent="0.25">
      <c r="C22" s="22" t="s">
        <v>60</v>
      </c>
      <c r="F22" s="27"/>
      <c r="G22" s="26" t="s">
        <v>38</v>
      </c>
      <c r="H22" s="27"/>
      <c r="I22" s="27"/>
      <c r="J22" s="27"/>
    </row>
    <row r="23" spans="3:10" x14ac:dyDescent="0.25">
      <c r="C23" s="22" t="s">
        <v>61</v>
      </c>
      <c r="F23" s="26" t="s">
        <v>31</v>
      </c>
      <c r="G23" s="26" t="s">
        <v>32</v>
      </c>
      <c r="H23" s="27"/>
      <c r="I23" s="26" t="s">
        <v>33</v>
      </c>
      <c r="J23" s="26" t="s">
        <v>34</v>
      </c>
    </row>
    <row r="24" spans="3:10" x14ac:dyDescent="0.25">
      <c r="C24" s="22" t="s">
        <v>62</v>
      </c>
      <c r="F24" s="27">
        <v>2024</v>
      </c>
      <c r="G24" s="27"/>
      <c r="H24" s="27"/>
      <c r="I24" s="27"/>
      <c r="J24" s="27"/>
    </row>
    <row r="25" spans="3:10" x14ac:dyDescent="0.25">
      <c r="F25" s="27" t="s">
        <v>51</v>
      </c>
      <c r="G25" s="27" t="s">
        <v>42</v>
      </c>
      <c r="H25" s="27"/>
      <c r="I25" s="28">
        <v>30000</v>
      </c>
      <c r="J25" s="27"/>
    </row>
    <row r="26" spans="3:10" x14ac:dyDescent="0.25">
      <c r="D26" s="32">
        <v>180000</v>
      </c>
      <c r="F26" s="27"/>
      <c r="G26" s="27"/>
      <c r="H26" s="27" t="s">
        <v>67</v>
      </c>
      <c r="I26" s="27"/>
      <c r="J26" s="28">
        <f>I25</f>
        <v>30000</v>
      </c>
    </row>
    <row r="27" spans="3:10" x14ac:dyDescent="0.25">
      <c r="C27" s="22" t="s">
        <v>79</v>
      </c>
      <c r="D27" s="32">
        <f>D26/6</f>
        <v>30000</v>
      </c>
      <c r="F27" s="27"/>
      <c r="G27" s="27"/>
      <c r="H27" s="27"/>
      <c r="I27" s="27"/>
      <c r="J27" s="27"/>
    </row>
    <row r="28" spans="3:10" x14ac:dyDescent="0.25">
      <c r="F28" s="27"/>
      <c r="G28" s="27"/>
      <c r="H28" s="27"/>
      <c r="I28" s="27"/>
      <c r="J28"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25755-674D-4865-AEC4-AE67BEA548A0}">
  <dimension ref="B3:AA31"/>
  <sheetViews>
    <sheetView tabSelected="1" topLeftCell="B17" zoomScale="210" zoomScaleNormal="210" workbookViewId="0">
      <selection activeCell="D32" sqref="D32"/>
    </sheetView>
  </sheetViews>
  <sheetFormatPr defaultRowHeight="15" x14ac:dyDescent="0.25"/>
  <cols>
    <col min="2" max="2" width="54.42578125" customWidth="1"/>
  </cols>
  <sheetData>
    <row r="3" spans="2:27" ht="42" x14ac:dyDescent="0.25">
      <c r="B3" s="18" t="s">
        <v>58</v>
      </c>
    </row>
    <row r="4" spans="2:27" x14ac:dyDescent="0.25">
      <c r="B4" s="9" t="s">
        <v>6</v>
      </c>
    </row>
    <row r="5" spans="2:27" x14ac:dyDescent="0.25">
      <c r="B5" s="10" t="s">
        <v>7</v>
      </c>
    </row>
    <row r="6" spans="2:27" x14ac:dyDescent="0.25">
      <c r="B6" s="11"/>
    </row>
    <row r="7" spans="2:27" x14ac:dyDescent="0.25">
      <c r="B7" s="11" t="s">
        <v>8</v>
      </c>
    </row>
    <row r="8" spans="2:27" x14ac:dyDescent="0.25">
      <c r="B8" s="9" t="s">
        <v>9</v>
      </c>
    </row>
    <row r="9" spans="2:27" x14ac:dyDescent="0.25">
      <c r="B9" s="9" t="s">
        <v>10</v>
      </c>
    </row>
    <row r="10" spans="2:27" x14ac:dyDescent="0.25">
      <c r="B10" s="9" t="s">
        <v>11</v>
      </c>
    </row>
    <row r="14" spans="2:27" x14ac:dyDescent="0.25">
      <c r="B14" s="2" t="s">
        <v>44</v>
      </c>
    </row>
    <row r="15" spans="2:27" ht="44.25" customHeight="1" x14ac:dyDescent="0.25">
      <c r="B15" s="24" t="s">
        <v>45</v>
      </c>
      <c r="C15" s="24"/>
      <c r="D15" s="24"/>
      <c r="E15" s="24"/>
      <c r="F15" s="24"/>
      <c r="G15" s="24"/>
      <c r="H15" s="24"/>
      <c r="I15" s="24"/>
      <c r="J15" s="24"/>
      <c r="K15" s="24"/>
      <c r="L15" s="24"/>
      <c r="M15" s="24"/>
      <c r="N15" s="24"/>
      <c r="O15" s="24"/>
      <c r="P15" s="24"/>
      <c r="Q15" s="24"/>
      <c r="R15" s="24"/>
      <c r="S15" s="24"/>
      <c r="T15" s="24"/>
      <c r="U15" s="24"/>
      <c r="V15" s="24"/>
      <c r="W15" s="24"/>
      <c r="X15" s="24"/>
      <c r="Y15" s="24"/>
      <c r="Z15" s="24"/>
      <c r="AA15" s="24"/>
    </row>
    <row r="16" spans="2:27" ht="98.25" customHeight="1" x14ac:dyDescent="0.25">
      <c r="B16" s="29" t="s">
        <v>46</v>
      </c>
      <c r="C16" s="24"/>
      <c r="D16" s="24"/>
      <c r="E16" s="24"/>
      <c r="F16" s="24"/>
      <c r="G16" s="24"/>
      <c r="H16" s="24"/>
      <c r="I16" s="24"/>
      <c r="J16" s="24"/>
      <c r="K16" s="24"/>
      <c r="L16" s="24"/>
      <c r="M16" s="24"/>
      <c r="N16" s="24"/>
      <c r="O16" s="24"/>
      <c r="P16" s="24"/>
      <c r="Q16" s="24"/>
      <c r="R16" s="24"/>
      <c r="S16" s="24"/>
      <c r="T16" s="24"/>
      <c r="U16" s="24"/>
      <c r="V16" s="24"/>
      <c r="W16" s="24"/>
      <c r="X16" s="24"/>
      <c r="Y16" s="24"/>
      <c r="Z16" s="24"/>
      <c r="AA16" s="24"/>
    </row>
    <row r="17" spans="2:27" ht="80.25" customHeight="1" x14ac:dyDescent="0.25">
      <c r="B17" s="29" t="s">
        <v>47</v>
      </c>
      <c r="C17" s="24"/>
      <c r="D17" s="24"/>
      <c r="E17" s="24"/>
      <c r="F17" s="24"/>
      <c r="G17" s="24"/>
      <c r="H17" s="24"/>
      <c r="I17" s="24"/>
      <c r="J17" s="24"/>
      <c r="K17" s="24"/>
      <c r="L17" s="24"/>
      <c r="M17" s="24"/>
      <c r="N17" s="24"/>
      <c r="O17" s="24"/>
      <c r="P17" s="24"/>
      <c r="Q17" s="24"/>
      <c r="R17" s="24"/>
      <c r="S17" s="24"/>
      <c r="T17" s="24"/>
      <c r="U17" s="24"/>
      <c r="V17" s="24"/>
      <c r="W17" s="24"/>
      <c r="X17" s="24"/>
      <c r="Y17" s="24"/>
      <c r="Z17" s="24"/>
      <c r="AA17" s="24"/>
    </row>
    <row r="18" spans="2:27" x14ac:dyDescent="0.25">
      <c r="B18" s="24"/>
      <c r="C18" s="27"/>
      <c r="D18" s="26" t="s">
        <v>38</v>
      </c>
      <c r="E18" s="27"/>
      <c r="F18" s="27"/>
      <c r="G18" s="27"/>
      <c r="J18" s="24"/>
      <c r="K18" s="24"/>
      <c r="L18" s="24"/>
      <c r="M18" s="24"/>
      <c r="N18" s="24"/>
      <c r="O18" s="24"/>
      <c r="P18" s="24"/>
      <c r="Q18" s="24"/>
      <c r="R18" s="24"/>
      <c r="S18" s="24"/>
      <c r="T18" s="24"/>
      <c r="U18" s="24"/>
      <c r="V18" s="24"/>
      <c r="W18" s="24"/>
      <c r="X18" s="24"/>
      <c r="Y18" s="24"/>
      <c r="Z18" s="24"/>
      <c r="AA18" s="24"/>
    </row>
    <row r="19" spans="2:27" x14ac:dyDescent="0.25">
      <c r="C19" s="26" t="s">
        <v>31</v>
      </c>
      <c r="D19" s="26" t="s">
        <v>32</v>
      </c>
      <c r="E19" s="27"/>
      <c r="F19" s="26" t="s">
        <v>33</v>
      </c>
      <c r="G19" s="26" t="s">
        <v>34</v>
      </c>
      <c r="H19" s="2"/>
      <c r="I19" s="2"/>
    </row>
    <row r="20" spans="2:27" x14ac:dyDescent="0.25">
      <c r="C20" s="27" t="s">
        <v>51</v>
      </c>
      <c r="D20" s="27" t="s">
        <v>68</v>
      </c>
      <c r="E20" s="27"/>
      <c r="F20" s="28">
        <v>3000</v>
      </c>
      <c r="G20" s="27"/>
    </row>
    <row r="21" spans="2:27" x14ac:dyDescent="0.25">
      <c r="C21" s="27"/>
      <c r="D21" s="27"/>
      <c r="E21" s="27" t="s">
        <v>69</v>
      </c>
      <c r="F21" s="28"/>
      <c r="G21" s="28">
        <f>F20</f>
        <v>3000</v>
      </c>
    </row>
    <row r="22" spans="2:27" x14ac:dyDescent="0.25">
      <c r="C22" s="27"/>
      <c r="D22" s="27"/>
      <c r="E22" s="27"/>
      <c r="F22" s="27"/>
      <c r="G22" s="27"/>
      <c r="I22" s="32"/>
    </row>
    <row r="23" spans="2:27" x14ac:dyDescent="0.25">
      <c r="C23" s="27" t="s">
        <v>51</v>
      </c>
      <c r="D23" s="27" t="s">
        <v>70</v>
      </c>
      <c r="E23" s="27"/>
      <c r="F23" s="28">
        <v>500</v>
      </c>
      <c r="G23" s="27"/>
    </row>
    <row r="24" spans="2:27" x14ac:dyDescent="0.25">
      <c r="C24" s="27"/>
      <c r="D24" s="27"/>
      <c r="E24" s="27" t="s">
        <v>71</v>
      </c>
      <c r="F24" s="27"/>
      <c r="G24" s="28">
        <v>500</v>
      </c>
    </row>
    <row r="25" spans="2:27" x14ac:dyDescent="0.25">
      <c r="C25" s="27"/>
      <c r="D25" s="27"/>
      <c r="E25" s="27"/>
      <c r="F25" s="27"/>
      <c r="G25" s="27"/>
      <c r="H25" s="32"/>
    </row>
    <row r="26" spans="2:27" x14ac:dyDescent="0.25">
      <c r="C26" s="27"/>
      <c r="D26" s="27"/>
      <c r="E26" s="27"/>
      <c r="F26" s="27"/>
      <c r="G26" s="27"/>
      <c r="I26" s="32"/>
    </row>
    <row r="27" spans="2:27" x14ac:dyDescent="0.25">
      <c r="C27" t="s">
        <v>85</v>
      </c>
    </row>
    <row r="29" spans="2:27" x14ac:dyDescent="0.25">
      <c r="C29" s="26" t="s">
        <v>31</v>
      </c>
      <c r="D29" s="26" t="s">
        <v>32</v>
      </c>
      <c r="E29" s="27"/>
      <c r="F29" s="26" t="s">
        <v>33</v>
      </c>
      <c r="G29" s="26" t="s">
        <v>34</v>
      </c>
    </row>
    <row r="30" spans="2:27" x14ac:dyDescent="0.25">
      <c r="C30" s="27" t="s">
        <v>86</v>
      </c>
      <c r="D30" s="27" t="s">
        <v>69</v>
      </c>
      <c r="E30" s="28"/>
      <c r="F30" s="28">
        <v>3000</v>
      </c>
      <c r="G30" s="27"/>
    </row>
    <row r="31" spans="2:27" x14ac:dyDescent="0.25">
      <c r="C31" s="27"/>
      <c r="D31" s="27"/>
      <c r="E31" s="27" t="s">
        <v>37</v>
      </c>
      <c r="F31" s="27"/>
      <c r="G31" s="28">
        <f>F30</f>
        <v>3000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1C3E-C376-42D3-927A-AD6E823E4ED3}">
  <dimension ref="B3:H24"/>
  <sheetViews>
    <sheetView topLeftCell="A13" zoomScale="200" zoomScaleNormal="200" workbookViewId="0">
      <selection activeCell="C20" sqref="C20"/>
    </sheetView>
  </sheetViews>
  <sheetFormatPr defaultRowHeight="15" x14ac:dyDescent="0.25"/>
  <cols>
    <col min="3" max="3" width="46.42578125" bestFit="1" customWidth="1"/>
    <col min="6" max="6" width="14.42578125" customWidth="1"/>
  </cols>
  <sheetData>
    <row r="3" spans="2:8" ht="71.25" customHeight="1" x14ac:dyDescent="0.25">
      <c r="B3" s="13"/>
      <c r="C3" s="30" t="s">
        <v>57</v>
      </c>
    </row>
    <row r="4" spans="2:8" x14ac:dyDescent="0.25">
      <c r="B4" s="13"/>
      <c r="C4" s="13" t="s">
        <v>2</v>
      </c>
    </row>
    <row r="5" spans="2:8" x14ac:dyDescent="0.25">
      <c r="B5" s="13"/>
      <c r="C5" s="13" t="s">
        <v>3</v>
      </c>
    </row>
    <row r="6" spans="2:8" ht="21" customHeight="1" x14ac:dyDescent="0.25">
      <c r="B6" s="13"/>
      <c r="C6" s="15" t="s">
        <v>5</v>
      </c>
    </row>
    <row r="7" spans="2:8" ht="18" customHeight="1" x14ac:dyDescent="0.25">
      <c r="B7" s="13"/>
      <c r="C7" s="15" t="s">
        <v>4</v>
      </c>
    </row>
    <row r="8" spans="2:8" x14ac:dyDescent="0.25">
      <c r="B8" s="13"/>
      <c r="C8" s="13"/>
    </row>
    <row r="11" spans="2:8" x14ac:dyDescent="0.25">
      <c r="C11" s="2" t="s">
        <v>44</v>
      </c>
    </row>
    <row r="13" spans="2:8" ht="61.5" customHeight="1" x14ac:dyDescent="0.25">
      <c r="C13" s="24" t="s">
        <v>56</v>
      </c>
    </row>
    <row r="15" spans="2:8" x14ac:dyDescent="0.25">
      <c r="D15" s="27"/>
      <c r="E15" s="26" t="s">
        <v>38</v>
      </c>
      <c r="F15" s="27"/>
      <c r="G15" s="27"/>
      <c r="H15" s="27"/>
    </row>
    <row r="16" spans="2:8" x14ac:dyDescent="0.25">
      <c r="D16" s="26" t="s">
        <v>31</v>
      </c>
      <c r="E16" s="26" t="s">
        <v>32</v>
      </c>
      <c r="F16" s="27"/>
      <c r="G16" s="26" t="s">
        <v>33</v>
      </c>
      <c r="H16" s="26" t="s">
        <v>34</v>
      </c>
    </row>
    <row r="17" spans="4:8" x14ac:dyDescent="0.25">
      <c r="D17" s="27" t="s">
        <v>51</v>
      </c>
      <c r="E17" s="27" t="s">
        <v>72</v>
      </c>
      <c r="F17" s="27"/>
      <c r="G17" s="28">
        <v>2500</v>
      </c>
      <c r="H17" s="27"/>
    </row>
    <row r="18" spans="4:8" x14ac:dyDescent="0.25">
      <c r="D18" s="27"/>
      <c r="E18" s="27"/>
      <c r="F18" s="27" t="s">
        <v>73</v>
      </c>
      <c r="G18" s="28"/>
      <c r="H18" s="28">
        <f>G17</f>
        <v>2500</v>
      </c>
    </row>
    <row r="19" spans="4:8" x14ac:dyDescent="0.25">
      <c r="D19" s="27"/>
      <c r="E19" s="27"/>
      <c r="F19" s="27"/>
      <c r="G19" s="27"/>
      <c r="H19" s="27"/>
    </row>
    <row r="21" spans="4:8" x14ac:dyDescent="0.25">
      <c r="D21" t="s">
        <v>76</v>
      </c>
    </row>
    <row r="22" spans="4:8" x14ac:dyDescent="0.25">
      <c r="D22" s="26" t="s">
        <v>77</v>
      </c>
      <c r="E22" s="26" t="s">
        <v>32</v>
      </c>
      <c r="F22" s="26"/>
      <c r="G22" s="26" t="s">
        <v>78</v>
      </c>
      <c r="H22" s="26" t="s">
        <v>34</v>
      </c>
    </row>
    <row r="23" spans="4:8" x14ac:dyDescent="0.25">
      <c r="D23" s="27" t="s">
        <v>74</v>
      </c>
      <c r="E23" s="27" t="s">
        <v>37</v>
      </c>
      <c r="F23" s="27"/>
      <c r="G23" s="28">
        <v>2500</v>
      </c>
      <c r="H23" s="27"/>
    </row>
    <row r="24" spans="4:8" x14ac:dyDescent="0.25">
      <c r="D24" s="27"/>
      <c r="E24" s="27"/>
      <c r="F24" s="27" t="s">
        <v>75</v>
      </c>
      <c r="G24" s="27"/>
      <c r="H24" s="28">
        <v>2500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Adjusting </vt:lpstr>
      <vt:lpstr>Type I</vt:lpstr>
      <vt:lpstr>Type II</vt:lpstr>
      <vt:lpstr>Type III</vt:lpstr>
      <vt:lpstr>Type IV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 ullah</dc:creator>
  <cp:lastModifiedBy>lh8 academic</cp:lastModifiedBy>
  <dcterms:created xsi:type="dcterms:W3CDTF">2015-06-05T18:17:20Z</dcterms:created>
  <dcterms:modified xsi:type="dcterms:W3CDTF">2025-03-18T09:43:35Z</dcterms:modified>
</cp:coreProperties>
</file>