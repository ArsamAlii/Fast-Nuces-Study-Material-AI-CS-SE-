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678D53F-5DC6-48A2-8609-526BD22FF4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apring an Adjusted Trial b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" i="3" l="1"/>
  <c r="Q63" i="3"/>
  <c r="Q62" i="3"/>
  <c r="Q61" i="3"/>
  <c r="Q60" i="3"/>
  <c r="Q59" i="3"/>
  <c r="L58" i="3"/>
  <c r="Q58" i="3" s="1"/>
  <c r="Q57" i="3"/>
  <c r="Q54" i="3"/>
  <c r="Q53" i="3"/>
  <c r="Q50" i="3"/>
  <c r="Q49" i="3"/>
  <c r="Q48" i="3"/>
  <c r="Q51" i="3" l="1"/>
</calcChain>
</file>

<file path=xl/sharedStrings.xml><?xml version="1.0" encoding="utf-8"?>
<sst xmlns="http://schemas.openxmlformats.org/spreadsheetml/2006/main" count="127" uniqueCount="54">
  <si>
    <t>Rent Expense</t>
  </si>
  <si>
    <t>Direct Method of Preparing an Adjusted Trial Balance:</t>
  </si>
  <si>
    <t>IF Credit</t>
  </si>
  <si>
    <t>IF credit</t>
  </si>
  <si>
    <t>PLUS</t>
  </si>
  <si>
    <t>IF Debit</t>
  </si>
  <si>
    <t>Minus</t>
  </si>
  <si>
    <t>IF debit</t>
  </si>
  <si>
    <t>NormalBalance</t>
  </si>
  <si>
    <t>minus</t>
  </si>
  <si>
    <t>Supplies Exp</t>
  </si>
  <si>
    <t>Plus</t>
  </si>
  <si>
    <t>UnearnedConsulting Fee</t>
  </si>
  <si>
    <t>Consulting Fee Earned</t>
  </si>
  <si>
    <t>Interest expense</t>
  </si>
  <si>
    <t>Step 3</t>
  </si>
  <si>
    <t>Step: 4 Preparing Adjusting Entries</t>
  </si>
  <si>
    <t>Step: 5 Preparing an Adjusted Trial Balance</t>
  </si>
  <si>
    <t xml:space="preserve">Adusted Trial Balance </t>
  </si>
  <si>
    <t xml:space="preserve">There are two methods of preparing an adjuted trial balance </t>
  </si>
  <si>
    <t>Formula:</t>
  </si>
  <si>
    <t xml:space="preserve">Indirect Method of Preparing an adjusted trial balance: </t>
  </si>
  <si>
    <t>First the adjusting entries are prepared</t>
  </si>
  <si>
    <t xml:space="preserve">This method is the same conventional method what we have gone through already in previous examples however its time consuming as compared to direct method. </t>
  </si>
  <si>
    <t xml:space="preserve">In indirect method we are preparing an adjusted trial balance based on the following steps:  </t>
  </si>
  <si>
    <t xml:space="preserve">Accounting Cycle </t>
  </si>
  <si>
    <t>Preparing an Unadjusted Trial Balance</t>
  </si>
  <si>
    <t>Amount to be reported in Adjusted Trial balance</t>
  </si>
  <si>
    <t xml:space="preserve">Amount reported in Unadjusted Trial Bal. </t>
  </si>
  <si>
    <t xml:space="preserve">The adjusting entries are then posted to the already existing ledger accounts, However if a ledger account is not present then a ledger account is created. </t>
  </si>
  <si>
    <t xml:space="preserve">Subsequently, the end balances of the ledger accounts are transferred and an adjusted trial balance is prepared. </t>
  </si>
  <si>
    <t>Supplies</t>
  </si>
  <si>
    <t>Dr.</t>
  </si>
  <si>
    <t>Cr.</t>
  </si>
  <si>
    <t xml:space="preserve">Dr. </t>
  </si>
  <si>
    <t>Prepaid Office rent</t>
  </si>
  <si>
    <t>Amount</t>
  </si>
  <si>
    <t>Dr./Cr.</t>
  </si>
  <si>
    <t>Amount reported in Adjusting Entries</t>
  </si>
  <si>
    <t>Unadusted Trial Balance (Dr. / Cr.)</t>
  </si>
  <si>
    <t>Amount Reported Adjusting Entries  (Dr./Cr)</t>
  </si>
  <si>
    <t>PLUS/MINUS</t>
  </si>
  <si>
    <t>Above Example Solution</t>
  </si>
  <si>
    <t>Depreciation Expense-Equipment</t>
  </si>
  <si>
    <t>Accumulated Depreciation-Equipment</t>
  </si>
  <si>
    <t>Dues and Subscription Expense</t>
  </si>
  <si>
    <t>Consulting Fee Receivable</t>
  </si>
  <si>
    <t>Salaries Expense</t>
  </si>
  <si>
    <t>Interest Payable</t>
  </si>
  <si>
    <t>Salaries  Payable</t>
  </si>
  <si>
    <t xml:space="preserve">Adj. Enr </t>
  </si>
  <si>
    <t>Income tax Expense</t>
  </si>
  <si>
    <t>Income tax Payable</t>
  </si>
  <si>
    <t xml:space="preserve">Prepaid Dues and Subscription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</si>
</sst>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2" borderId="0" xfId="0" applyFill="1"/>
    <xf numFmtId="0" fontId="1" fillId="0" borderId="1" xfId="0" applyFont="1" applyBorder="1"/>
    <xf numFmtId="0" fontId="0" fillId="0" borderId="1" xfId="0" applyBorder="1"/>
    <xf numFmtId="0" fontId="0" fillId="4" borderId="1" xfId="0" applyFill="1" applyBorder="1"/>
    <xf numFmtId="0" fontId="2" fillId="5" borderId="0" xfId="0" applyFont="1" applyFill="1"/>
    <xf numFmtId="0" fontId="3" fillId="5" borderId="0" xfId="0" applyFont="1" applyFill="1"/>
    <xf numFmtId="0" fontId="4" fillId="5" borderId="0" xfId="0" applyFont="1" applyFill="1"/>
    <xf numFmtId="0" fontId="0" fillId="5" borderId="0" xfId="0" applyFill="1"/>
    <xf numFmtId="6" fontId="0" fillId="0" borderId="0" xfId="0" applyNumberFormat="1"/>
    <xf numFmtId="0" fontId="2" fillId="6" borderId="0" xfId="0" applyFont="1" applyFill="1"/>
    <xf numFmtId="0" fontId="0" fillId="6" borderId="0" xfId="0" applyFill="1"/>
    <xf numFmtId="6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2</xdr:row>
      <xdr:rowOff>95250</xdr:rowOff>
    </xdr:from>
    <xdr:to>
      <xdr:col>7</xdr:col>
      <xdr:colOff>351940</xdr:colOff>
      <xdr:row>31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476250"/>
          <a:ext cx="4361965" cy="55816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2</xdr:row>
      <xdr:rowOff>100286</xdr:rowOff>
    </xdr:from>
    <xdr:to>
      <xdr:col>15</xdr:col>
      <xdr:colOff>314325</xdr:colOff>
      <xdr:row>31</xdr:row>
      <xdr:rowOff>151736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5" y="481286"/>
          <a:ext cx="4552950" cy="55759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47625</xdr:rowOff>
    </xdr:from>
    <xdr:to>
      <xdr:col>22</xdr:col>
      <xdr:colOff>514350</xdr:colOff>
      <xdr:row>32</xdr:row>
      <xdr:rowOff>27899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428625"/>
          <a:ext cx="4171950" cy="5695274"/>
        </a:xfrm>
        <a:prstGeom prst="rect">
          <a:avLst/>
        </a:prstGeom>
      </xdr:spPr>
    </xdr:pic>
    <xdr:clientData/>
  </xdr:twoCellAnchor>
  <xdr:twoCellAnchor>
    <xdr:from>
      <xdr:col>20</xdr:col>
      <xdr:colOff>247651</xdr:colOff>
      <xdr:row>32</xdr:row>
      <xdr:rowOff>142875</xdr:rowOff>
    </xdr:from>
    <xdr:to>
      <xdr:col>21</xdr:col>
      <xdr:colOff>266700</xdr:colOff>
      <xdr:row>55</xdr:row>
      <xdr:rowOff>19050</xdr:rowOff>
    </xdr:to>
    <xdr:sp macro="" textlink="">
      <xdr:nvSpPr>
        <xdr:cNvPr id="19" name="Bent-Up Arrow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3963651" y="5953125"/>
          <a:ext cx="704849" cy="4076700"/>
        </a:xfrm>
        <a:prstGeom prst="bentUpArrow">
          <a:avLst>
            <a:gd name="adj1" fmla="val 20238"/>
            <a:gd name="adj2" fmla="val 25658"/>
            <a:gd name="adj3" fmla="val 31579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285750</xdr:colOff>
      <xdr:row>46</xdr:row>
      <xdr:rowOff>114300</xdr:rowOff>
    </xdr:from>
    <xdr:to>
      <xdr:col>20</xdr:col>
      <xdr:colOff>171450</xdr:colOff>
      <xdr:row>62</xdr:row>
      <xdr:rowOff>142875</xdr:rowOff>
    </xdr:to>
    <xdr:sp macro="" textlink="">
      <xdr:nvSpPr>
        <xdr:cNvPr id="20" name="Right Brac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1944350" y="8496300"/>
          <a:ext cx="1943100" cy="29241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topLeftCell="F10" zoomScale="150" zoomScaleNormal="150" workbookViewId="0">
      <selection activeCell="Q47" sqref="Q47"/>
    </sheetView>
  </sheetViews>
  <sheetFormatPr defaultRowHeight="15" x14ac:dyDescent="0.25"/>
  <sheetData>
    <row r="1" spans="1:21" x14ac:dyDescent="0.25">
      <c r="A1" s="7" t="s">
        <v>25</v>
      </c>
      <c r="B1" s="7"/>
      <c r="C1" s="10"/>
      <c r="D1" s="10"/>
      <c r="E1" s="10"/>
      <c r="J1" s="7" t="s">
        <v>25</v>
      </c>
      <c r="K1" s="7"/>
      <c r="L1" s="10"/>
      <c r="M1" s="10"/>
      <c r="Q1" s="7" t="s">
        <v>25</v>
      </c>
      <c r="R1" s="7"/>
      <c r="S1" s="10"/>
      <c r="T1" s="10"/>
      <c r="U1" s="10"/>
    </row>
    <row r="2" spans="1:21" x14ac:dyDescent="0.25">
      <c r="A2" s="7" t="s">
        <v>15</v>
      </c>
      <c r="B2" s="7" t="s">
        <v>26</v>
      </c>
      <c r="C2" s="10"/>
      <c r="D2" s="10"/>
      <c r="E2" s="10"/>
      <c r="J2" s="7" t="s">
        <v>16</v>
      </c>
      <c r="K2" s="7"/>
      <c r="L2" s="7"/>
      <c r="M2" s="7"/>
      <c r="Q2" s="7" t="s">
        <v>17</v>
      </c>
      <c r="R2" s="7"/>
      <c r="S2" s="7"/>
      <c r="T2" s="7"/>
      <c r="U2" s="10"/>
    </row>
    <row r="33" spans="1:21" x14ac:dyDescent="0.25">
      <c r="B33" t="s">
        <v>19</v>
      </c>
    </row>
    <row r="34" spans="1:21" x14ac:dyDescent="0.25">
      <c r="B34">
        <v>1</v>
      </c>
      <c r="C34" s="1" t="s">
        <v>1</v>
      </c>
      <c r="D34" s="1"/>
      <c r="E34" s="1"/>
      <c r="F34" s="1"/>
      <c r="G34" s="1"/>
    </row>
    <row r="35" spans="1:21" x14ac:dyDescent="0.25">
      <c r="D35" s="2" t="s">
        <v>20</v>
      </c>
    </row>
    <row r="36" spans="1:21" x14ac:dyDescent="0.25">
      <c r="D36" s="4" t="s">
        <v>39</v>
      </c>
      <c r="E36" s="4"/>
      <c r="F36" s="4"/>
      <c r="G36" s="4"/>
      <c r="H36" s="4" t="s">
        <v>41</v>
      </c>
      <c r="I36" s="4"/>
      <c r="J36" s="4" t="s">
        <v>40</v>
      </c>
      <c r="K36" s="4"/>
      <c r="L36" s="4"/>
      <c r="M36" s="4"/>
      <c r="N36" s="5"/>
      <c r="O36" s="4" t="s">
        <v>18</v>
      </c>
      <c r="P36" s="4"/>
    </row>
    <row r="37" spans="1:21" x14ac:dyDescent="0.25">
      <c r="D37" s="6" t="s">
        <v>2</v>
      </c>
      <c r="E37" s="6"/>
      <c r="F37" s="6"/>
      <c r="G37" s="6"/>
      <c r="H37" s="6" t="s">
        <v>4</v>
      </c>
      <c r="I37" s="6"/>
      <c r="J37" s="6" t="s">
        <v>3</v>
      </c>
      <c r="K37" s="6"/>
      <c r="L37" s="6"/>
      <c r="M37" s="6"/>
      <c r="N37" s="6"/>
      <c r="O37" s="6" t="s">
        <v>8</v>
      </c>
      <c r="P37" s="6"/>
    </row>
    <row r="38" spans="1:21" x14ac:dyDescent="0.25"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21" x14ac:dyDescent="0.25">
      <c r="D39" s="6" t="s">
        <v>5</v>
      </c>
      <c r="E39" s="6"/>
      <c r="F39" s="6"/>
      <c r="G39" s="6"/>
      <c r="H39" s="6" t="s">
        <v>4</v>
      </c>
      <c r="I39" s="6"/>
      <c r="J39" s="6" t="s">
        <v>5</v>
      </c>
      <c r="K39" s="6"/>
      <c r="L39" s="6"/>
      <c r="M39" s="6"/>
      <c r="N39" s="6"/>
      <c r="O39" s="6" t="s">
        <v>8</v>
      </c>
      <c r="P39" s="6"/>
    </row>
    <row r="40" spans="1:21" x14ac:dyDescent="0.25"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21" x14ac:dyDescent="0.25">
      <c r="D41" s="6" t="s">
        <v>5</v>
      </c>
      <c r="E41" s="6"/>
      <c r="F41" s="6"/>
      <c r="G41" s="6"/>
      <c r="H41" s="6" t="s">
        <v>6</v>
      </c>
      <c r="I41" s="6"/>
      <c r="J41" s="6" t="s">
        <v>2</v>
      </c>
      <c r="K41" s="6"/>
      <c r="L41" s="6"/>
      <c r="M41" s="6"/>
      <c r="N41" s="6"/>
      <c r="O41" s="6" t="s">
        <v>8</v>
      </c>
      <c r="P41" s="6"/>
    </row>
    <row r="42" spans="1:21" x14ac:dyDescent="0.25"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21" x14ac:dyDescent="0.25">
      <c r="D43" s="6" t="s">
        <v>2</v>
      </c>
      <c r="E43" s="6"/>
      <c r="F43" s="6"/>
      <c r="G43" s="6"/>
      <c r="H43" s="6" t="s">
        <v>6</v>
      </c>
      <c r="I43" s="6"/>
      <c r="J43" s="6" t="s">
        <v>7</v>
      </c>
      <c r="K43" s="6"/>
      <c r="L43" s="6"/>
      <c r="M43" s="6"/>
      <c r="N43" s="6"/>
      <c r="O43" s="6" t="s">
        <v>8</v>
      </c>
      <c r="P43" s="6"/>
    </row>
    <row r="45" spans="1:21" x14ac:dyDescent="0.25">
      <c r="A45" s="8" t="s">
        <v>42</v>
      </c>
      <c r="B45" s="8"/>
      <c r="C45" s="9"/>
      <c r="F45" s="2" t="s">
        <v>28</v>
      </c>
      <c r="G45" s="2"/>
      <c r="H45" s="2"/>
      <c r="I45" s="2"/>
      <c r="J45" s="1"/>
      <c r="K45" s="1"/>
      <c r="L45" s="2" t="s">
        <v>38</v>
      </c>
      <c r="M45" s="2"/>
      <c r="N45" s="2"/>
      <c r="O45" s="2"/>
      <c r="P45" s="1"/>
      <c r="Q45" s="12" t="s">
        <v>27</v>
      </c>
      <c r="R45" s="12"/>
      <c r="S45" s="12"/>
      <c r="T45" s="13"/>
      <c r="U45" s="13"/>
    </row>
    <row r="46" spans="1:21" x14ac:dyDescent="0.25">
      <c r="A46" t="s">
        <v>50</v>
      </c>
      <c r="F46" s="3" t="s">
        <v>36</v>
      </c>
      <c r="G46" s="3" t="s">
        <v>37</v>
      </c>
      <c r="L46" s="3" t="s">
        <v>36</v>
      </c>
      <c r="M46" s="3" t="s">
        <v>37</v>
      </c>
      <c r="Q46" s="3" t="s">
        <v>36</v>
      </c>
      <c r="R46" s="3" t="s">
        <v>37</v>
      </c>
    </row>
    <row r="47" spans="1:21" x14ac:dyDescent="0.25">
      <c r="A47">
        <v>1</v>
      </c>
      <c r="B47" t="s">
        <v>0</v>
      </c>
      <c r="F47" s="11">
        <v>11000</v>
      </c>
      <c r="G47" t="s">
        <v>32</v>
      </c>
      <c r="J47" t="s">
        <v>11</v>
      </c>
      <c r="L47" s="11">
        <v>1050</v>
      </c>
      <c r="M47" t="s">
        <v>32</v>
      </c>
      <c r="Q47" s="14">
        <f>F47+L47</f>
        <v>12050</v>
      </c>
      <c r="R47" t="s">
        <v>34</v>
      </c>
    </row>
    <row r="48" spans="1:21" x14ac:dyDescent="0.25">
      <c r="A48">
        <v>1</v>
      </c>
      <c r="B48" t="s">
        <v>35</v>
      </c>
      <c r="F48">
        <v>3150</v>
      </c>
      <c r="G48" t="s">
        <v>32</v>
      </c>
      <c r="J48" t="s">
        <v>9</v>
      </c>
      <c r="L48">
        <v>1050</v>
      </c>
      <c r="M48" t="s">
        <v>33</v>
      </c>
      <c r="Q48" s="15">
        <f>F48-L48</f>
        <v>2100</v>
      </c>
      <c r="R48" t="s">
        <v>34</v>
      </c>
    </row>
    <row r="49" spans="1:18" x14ac:dyDescent="0.25">
      <c r="A49">
        <v>2</v>
      </c>
      <c r="B49" t="s">
        <v>45</v>
      </c>
      <c r="F49">
        <v>280</v>
      </c>
      <c r="G49" t="s">
        <v>32</v>
      </c>
      <c r="J49" t="s">
        <v>11</v>
      </c>
      <c r="L49">
        <v>50</v>
      </c>
      <c r="M49" t="s">
        <v>32</v>
      </c>
      <c r="Q49" s="15">
        <f>F49+L49</f>
        <v>330</v>
      </c>
      <c r="R49" t="s">
        <v>34</v>
      </c>
    </row>
    <row r="50" spans="1:18" x14ac:dyDescent="0.25">
      <c r="A50">
        <v>2</v>
      </c>
      <c r="B50" t="s">
        <v>53</v>
      </c>
      <c r="F50">
        <v>150</v>
      </c>
      <c r="G50" t="s">
        <v>32</v>
      </c>
      <c r="J50" t="s">
        <v>9</v>
      </c>
      <c r="L50">
        <v>50</v>
      </c>
      <c r="M50" t="s">
        <v>33</v>
      </c>
      <c r="Q50" s="15">
        <f>F50-L50</f>
        <v>100</v>
      </c>
      <c r="R50" t="s">
        <v>32</v>
      </c>
    </row>
    <row r="51" spans="1:18" x14ac:dyDescent="0.25">
      <c r="A51">
        <v>3</v>
      </c>
      <c r="B51" t="s">
        <v>10</v>
      </c>
      <c r="F51">
        <v>800</v>
      </c>
      <c r="G51" t="s">
        <v>32</v>
      </c>
      <c r="J51" t="s">
        <v>11</v>
      </c>
      <c r="L51">
        <v>75</v>
      </c>
      <c r="M51" t="s">
        <v>32</v>
      </c>
      <c r="Q51" s="15">
        <f>F51+L51</f>
        <v>875</v>
      </c>
      <c r="R51" t="s">
        <v>34</v>
      </c>
    </row>
    <row r="52" spans="1:18" x14ac:dyDescent="0.25">
      <c r="A52">
        <v>3</v>
      </c>
      <c r="B52" t="s">
        <v>31</v>
      </c>
      <c r="F52">
        <v>300</v>
      </c>
      <c r="G52" t="s">
        <v>32</v>
      </c>
      <c r="J52" t="s">
        <v>6</v>
      </c>
      <c r="L52">
        <v>75</v>
      </c>
      <c r="M52" t="s">
        <v>33</v>
      </c>
      <c r="Q52" s="15">
        <v>225</v>
      </c>
      <c r="R52" t="s">
        <v>34</v>
      </c>
    </row>
    <row r="53" spans="1:18" x14ac:dyDescent="0.25">
      <c r="A53">
        <v>4</v>
      </c>
      <c r="B53" t="s">
        <v>43</v>
      </c>
      <c r="F53">
        <v>3300</v>
      </c>
      <c r="G53" t="s">
        <v>32</v>
      </c>
      <c r="J53" t="s">
        <v>11</v>
      </c>
      <c r="L53">
        <v>300</v>
      </c>
      <c r="M53" t="s">
        <v>32</v>
      </c>
      <c r="Q53" s="15">
        <f>F53+L53</f>
        <v>3600</v>
      </c>
      <c r="R53" t="s">
        <v>32</v>
      </c>
    </row>
    <row r="54" spans="1:18" x14ac:dyDescent="0.25">
      <c r="A54">
        <v>4</v>
      </c>
      <c r="B54" t="s">
        <v>44</v>
      </c>
      <c r="F54">
        <v>5100</v>
      </c>
      <c r="G54" t="s">
        <v>33</v>
      </c>
      <c r="J54" t="s">
        <v>11</v>
      </c>
      <c r="L54">
        <v>300</v>
      </c>
      <c r="M54" t="s">
        <v>33</v>
      </c>
      <c r="Q54" s="15">
        <f>F54+L54</f>
        <v>5400</v>
      </c>
      <c r="R54" t="s">
        <v>33</v>
      </c>
    </row>
    <row r="55" spans="1:18" x14ac:dyDescent="0.25">
      <c r="A55">
        <v>5</v>
      </c>
      <c r="B55" t="s">
        <v>14</v>
      </c>
      <c r="F55">
        <v>0</v>
      </c>
      <c r="L55">
        <v>50</v>
      </c>
      <c r="M55" t="s">
        <v>32</v>
      </c>
      <c r="Q55" s="15">
        <v>50</v>
      </c>
      <c r="R55" t="s">
        <v>32</v>
      </c>
    </row>
    <row r="56" spans="1:18" x14ac:dyDescent="0.25">
      <c r="A56">
        <v>5</v>
      </c>
      <c r="B56" t="s">
        <v>48</v>
      </c>
      <c r="F56">
        <v>0</v>
      </c>
      <c r="L56">
        <v>50</v>
      </c>
      <c r="M56" t="s">
        <v>33</v>
      </c>
      <c r="Q56" s="15">
        <v>50</v>
      </c>
      <c r="R56" t="s">
        <v>33</v>
      </c>
    </row>
    <row r="57" spans="1:18" x14ac:dyDescent="0.25">
      <c r="A57">
        <v>6</v>
      </c>
      <c r="B57" t="s">
        <v>12</v>
      </c>
      <c r="F57">
        <v>2975</v>
      </c>
      <c r="G57" t="s">
        <v>33</v>
      </c>
      <c r="J57" t="s">
        <v>6</v>
      </c>
      <c r="L57">
        <v>1425</v>
      </c>
      <c r="M57" t="s">
        <v>34</v>
      </c>
      <c r="Q57" s="15">
        <f>F57-L57</f>
        <v>1550</v>
      </c>
      <c r="R57" t="s">
        <v>33</v>
      </c>
    </row>
    <row r="58" spans="1:18" x14ac:dyDescent="0.25">
      <c r="A58">
        <v>6</v>
      </c>
      <c r="B58" t="s">
        <v>13</v>
      </c>
      <c r="F58">
        <v>128590</v>
      </c>
      <c r="G58" t="s">
        <v>33</v>
      </c>
      <c r="J58" t="s">
        <v>11</v>
      </c>
      <c r="L58">
        <f>5500+1425</f>
        <v>6925</v>
      </c>
      <c r="M58" t="s">
        <v>33</v>
      </c>
      <c r="Q58" s="15">
        <f t="shared" ref="Q58:Q63" si="0">F58+L58</f>
        <v>135515</v>
      </c>
      <c r="R58" t="s">
        <v>33</v>
      </c>
    </row>
    <row r="59" spans="1:18" x14ac:dyDescent="0.25">
      <c r="A59">
        <v>7</v>
      </c>
      <c r="B59" t="s">
        <v>46</v>
      </c>
      <c r="F59">
        <v>11700</v>
      </c>
      <c r="G59" t="s">
        <v>32</v>
      </c>
      <c r="J59" t="s">
        <v>11</v>
      </c>
      <c r="L59">
        <v>5500</v>
      </c>
      <c r="M59" t="s">
        <v>34</v>
      </c>
      <c r="Q59" s="15">
        <f t="shared" si="0"/>
        <v>17200</v>
      </c>
      <c r="R59" t="s">
        <v>34</v>
      </c>
    </row>
    <row r="60" spans="1:18" x14ac:dyDescent="0.25">
      <c r="A60">
        <v>8</v>
      </c>
      <c r="B60" t="s">
        <v>47</v>
      </c>
      <c r="F60">
        <v>44410</v>
      </c>
      <c r="G60" t="s">
        <v>32</v>
      </c>
      <c r="J60" t="s">
        <v>11</v>
      </c>
      <c r="L60">
        <v>850</v>
      </c>
      <c r="M60" t="s">
        <v>32</v>
      </c>
      <c r="Q60" s="15">
        <f t="shared" si="0"/>
        <v>45260</v>
      </c>
      <c r="R60" t="s">
        <v>32</v>
      </c>
    </row>
    <row r="61" spans="1:18" x14ac:dyDescent="0.25">
      <c r="A61">
        <v>8</v>
      </c>
      <c r="B61" t="s">
        <v>49</v>
      </c>
      <c r="F61">
        <v>0</v>
      </c>
      <c r="J61" t="s">
        <v>11</v>
      </c>
      <c r="L61">
        <v>850</v>
      </c>
      <c r="M61" t="s">
        <v>33</v>
      </c>
      <c r="Q61" s="15">
        <f t="shared" si="0"/>
        <v>850</v>
      </c>
      <c r="R61" t="s">
        <v>33</v>
      </c>
    </row>
    <row r="62" spans="1:18" x14ac:dyDescent="0.25">
      <c r="A62">
        <v>9</v>
      </c>
      <c r="B62" t="s">
        <v>51</v>
      </c>
      <c r="F62">
        <v>25500</v>
      </c>
      <c r="G62" t="s">
        <v>34</v>
      </c>
      <c r="J62" t="s">
        <v>11</v>
      </c>
      <c r="L62">
        <v>2500</v>
      </c>
      <c r="M62" t="s">
        <v>32</v>
      </c>
      <c r="Q62" s="15">
        <f t="shared" si="0"/>
        <v>28000</v>
      </c>
      <c r="R62" t="s">
        <v>32</v>
      </c>
    </row>
    <row r="63" spans="1:18" x14ac:dyDescent="0.25">
      <c r="A63">
        <v>9</v>
      </c>
      <c r="B63" t="s">
        <v>52</v>
      </c>
      <c r="F63">
        <v>6000</v>
      </c>
      <c r="G63" t="s">
        <v>33</v>
      </c>
      <c r="J63" t="s">
        <v>11</v>
      </c>
      <c r="L63">
        <v>2500</v>
      </c>
      <c r="M63" t="s">
        <v>33</v>
      </c>
      <c r="Q63" s="15">
        <f t="shared" si="0"/>
        <v>8500</v>
      </c>
      <c r="R63" t="s">
        <v>33</v>
      </c>
    </row>
    <row r="66" spans="2:7" x14ac:dyDescent="0.25">
      <c r="B66" s="1">
        <v>2</v>
      </c>
      <c r="C66" s="1" t="s">
        <v>21</v>
      </c>
      <c r="D66" s="1"/>
      <c r="E66" s="1"/>
      <c r="F66" s="1"/>
      <c r="G66" s="1"/>
    </row>
    <row r="67" spans="2:7" x14ac:dyDescent="0.25">
      <c r="B67" s="1"/>
      <c r="C67" s="1" t="s">
        <v>23</v>
      </c>
      <c r="D67" s="1"/>
      <c r="E67" s="1"/>
      <c r="F67" s="1"/>
      <c r="G67" s="1"/>
    </row>
    <row r="68" spans="2:7" x14ac:dyDescent="0.25">
      <c r="C68" t="s">
        <v>24</v>
      </c>
    </row>
    <row r="70" spans="2:7" x14ac:dyDescent="0.25">
      <c r="C70">
        <v>1</v>
      </c>
      <c r="D70" t="s">
        <v>22</v>
      </c>
    </row>
    <row r="71" spans="2:7" x14ac:dyDescent="0.25">
      <c r="C71">
        <v>2</v>
      </c>
      <c r="D71" t="s">
        <v>29</v>
      </c>
    </row>
    <row r="72" spans="2:7" x14ac:dyDescent="0.25">
      <c r="C72">
        <v>3</v>
      </c>
      <c r="D72" t="s">
        <v>30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Preapring an Adjusted Trial 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it.support@pwr.nu.edu.pk</dc:creator>
  <cp:lastModifiedBy>lh8 academic</cp:lastModifiedBy>
  <dcterms:created xsi:type="dcterms:W3CDTF">2024-10-04T03:12:40Z</dcterms:created>
  <dcterms:modified xsi:type="dcterms:W3CDTF">2025-03-18T10:06:27Z</dcterms:modified>
</cp:coreProperties>
</file>