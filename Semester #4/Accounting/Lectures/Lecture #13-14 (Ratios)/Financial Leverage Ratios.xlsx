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Leture 13 &amp; 14 Financial Statement Analysis in Excel Sheet\"/>
    </mc:Choice>
  </mc:AlternateContent>
  <xr:revisionPtr revIDLastSave="0" documentId="13_ncr:1_{152B73E3-AE8C-4E56-97AE-43969E1A83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J14" i="1"/>
  <c r="J13" i="1"/>
  <c r="M34" i="1" l="1"/>
  <c r="M35" i="1"/>
  <c r="J35" i="1"/>
  <c r="J34" i="1"/>
  <c r="N34" i="1" s="1"/>
  <c r="J33" i="1"/>
  <c r="N33" i="1" s="1"/>
  <c r="J24" i="1"/>
  <c r="L24" i="1" s="1"/>
  <c r="J23" i="1"/>
  <c r="L23" i="1" s="1"/>
  <c r="J22" i="1"/>
  <c r="L22" i="1" s="1"/>
  <c r="L15" i="1"/>
  <c r="J15" i="1"/>
  <c r="L14" i="1"/>
  <c r="L13" i="1"/>
  <c r="N35" i="1" l="1"/>
</calcChain>
</file>

<file path=xl/sharedStrings.xml><?xml version="1.0" encoding="utf-8"?>
<sst xmlns="http://schemas.openxmlformats.org/spreadsheetml/2006/main" count="17" uniqueCount="15">
  <si>
    <t>Financial Leverage Ratios (Balance Sheet Ratios)</t>
  </si>
  <si>
    <t>1. Debt to Equity Ratio = Total Debt /Total Equity</t>
  </si>
  <si>
    <t>2. Debt to total Assets = Total Debt / Total Assets</t>
  </si>
  <si>
    <t>Basket Wonders comparative Balance sheet Dec. 31, 2003</t>
  </si>
  <si>
    <t>3. Total Capitalization Ratio = Total Debt /Total Capitalization</t>
  </si>
  <si>
    <t>total Capitalization = LT- Debt + Equity</t>
  </si>
  <si>
    <t>Total Debt</t>
  </si>
  <si>
    <t>Total Equity</t>
  </si>
  <si>
    <t>Debt to Equity Ratio</t>
  </si>
  <si>
    <t>Total Asset</t>
  </si>
  <si>
    <t>Debt to Total Assets Ratio</t>
  </si>
  <si>
    <t>LT-Debt</t>
  </si>
  <si>
    <t>Equity</t>
  </si>
  <si>
    <t>Total Capitalization</t>
  </si>
  <si>
    <t>total Capitalization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</si>
</sst>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9" fontId="0" fillId="0" borderId="0" xfId="2" applyFont="1"/>
    <xf numFmtId="2" fontId="0" fillId="0" borderId="0" xfId="0" applyNumberFormat="1"/>
    <xf numFmtId="1" fontId="0" fillId="0" borderId="0" xfId="2" applyNumberFormat="1" applyFont="1"/>
    <xf numFmtId="44" fontId="0" fillId="0" borderId="0" xfId="1" applyFont="1"/>
    <xf numFmtId="1" fontId="0" fillId="2" borderId="0" xfId="2" applyNumberFormat="1" applyFont="1" applyFill="1"/>
    <xf numFmtId="9" fontId="0" fillId="2" borderId="0" xfId="2" applyFont="1" applyFill="1"/>
    <xf numFmtId="0" fontId="0" fillId="2" borderId="0" xfId="0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44" fontId="0" fillId="4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7</xdr:col>
      <xdr:colOff>28114</xdr:colOff>
      <xdr:row>17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85776"/>
          <a:ext cx="3685714" cy="3028949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17</xdr:row>
      <xdr:rowOff>152400</xdr:rowOff>
    </xdr:from>
    <xdr:to>
      <xdr:col>6</xdr:col>
      <xdr:colOff>609137</xdr:colOff>
      <xdr:row>35</xdr:row>
      <xdr:rowOff>9114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" y="3505200"/>
          <a:ext cx="3704762" cy="3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N16" sqref="N16"/>
    </sheetView>
  </sheetViews>
  <sheetFormatPr defaultRowHeight="15" x14ac:dyDescent="0.25"/>
  <cols>
    <col min="10" max="10" width="11.140625" customWidth="1"/>
    <col min="11" max="11" width="12.28515625" customWidth="1"/>
    <col min="12" max="12" width="22.85546875" customWidth="1"/>
    <col min="13" max="13" width="23.42578125" customWidth="1"/>
    <col min="14" max="14" width="22.140625" customWidth="1"/>
    <col min="16" max="16" width="9.140625" customWidth="1"/>
  </cols>
  <sheetData>
    <row r="1" spans="1:14" ht="23.25" x14ac:dyDescent="0.35">
      <c r="A1" s="1" t="s">
        <v>3</v>
      </c>
    </row>
    <row r="8" spans="1:14" ht="15.75" x14ac:dyDescent="0.25">
      <c r="I8" s="2" t="s">
        <v>0</v>
      </c>
    </row>
    <row r="10" spans="1:14" x14ac:dyDescent="0.25">
      <c r="I10" s="3" t="s">
        <v>1</v>
      </c>
      <c r="M10" s="6"/>
      <c r="N10" s="6"/>
    </row>
    <row r="11" spans="1:14" x14ac:dyDescent="0.25">
      <c r="L11" s="8"/>
      <c r="M11" s="6"/>
      <c r="N11" s="6"/>
    </row>
    <row r="12" spans="1:14" x14ac:dyDescent="0.25">
      <c r="J12" t="s">
        <v>6</v>
      </c>
      <c r="K12" t="s">
        <v>7</v>
      </c>
      <c r="L12" s="10" t="s">
        <v>8</v>
      </c>
      <c r="M12" s="6"/>
      <c r="N12" s="6"/>
    </row>
    <row r="13" spans="1:14" x14ac:dyDescent="0.25">
      <c r="I13">
        <v>2001</v>
      </c>
      <c r="J13" s="9">
        <f>399+150</f>
        <v>549</v>
      </c>
      <c r="K13" s="9">
        <v>674</v>
      </c>
      <c r="L13" s="11">
        <f>J13/K13</f>
        <v>0.81454005934718099</v>
      </c>
    </row>
    <row r="14" spans="1:14" x14ac:dyDescent="0.25">
      <c r="I14">
        <v>2002</v>
      </c>
      <c r="J14" s="9">
        <f>505+453</f>
        <v>958</v>
      </c>
      <c r="K14" s="9">
        <v>1086</v>
      </c>
      <c r="L14" s="11">
        <f t="shared" ref="L14:L15" si="0">J14/K14</f>
        <v>0.88213627992633514</v>
      </c>
    </row>
    <row r="15" spans="1:14" x14ac:dyDescent="0.25">
      <c r="I15">
        <v>2003</v>
      </c>
      <c r="J15" s="9">
        <f>500+530</f>
        <v>1030</v>
      </c>
      <c r="K15" s="9">
        <v>1139</v>
      </c>
      <c r="L15" s="11">
        <f t="shared" si="0"/>
        <v>0.90430201931518872</v>
      </c>
    </row>
    <row r="16" spans="1:14" x14ac:dyDescent="0.25">
      <c r="M16" s="6"/>
    </row>
    <row r="19" spans="9:14" x14ac:dyDescent="0.25">
      <c r="I19" s="3" t="s">
        <v>2</v>
      </c>
    </row>
    <row r="21" spans="9:14" x14ac:dyDescent="0.25">
      <c r="J21" t="s">
        <v>6</v>
      </c>
      <c r="K21" t="s">
        <v>9</v>
      </c>
      <c r="L21" s="12" t="s">
        <v>10</v>
      </c>
    </row>
    <row r="22" spans="9:14" x14ac:dyDescent="0.25">
      <c r="I22">
        <v>2001</v>
      </c>
      <c r="J22" s="9">
        <f>399+150</f>
        <v>549</v>
      </c>
      <c r="K22" s="9">
        <v>1223</v>
      </c>
      <c r="L22" s="11">
        <f>J22/K22</f>
        <v>0.44889615699100571</v>
      </c>
      <c r="M22" s="7"/>
    </row>
    <row r="23" spans="9:14" x14ac:dyDescent="0.25">
      <c r="I23">
        <v>2002</v>
      </c>
      <c r="J23" s="9">
        <f>505+453</f>
        <v>958</v>
      </c>
      <c r="K23" s="9">
        <v>2044</v>
      </c>
      <c r="L23" s="11">
        <f t="shared" ref="L23:L24" si="1">J23/K23</f>
        <v>0.46868884540117417</v>
      </c>
      <c r="M23" s="7"/>
    </row>
    <row r="24" spans="9:14" x14ac:dyDescent="0.25">
      <c r="I24">
        <v>2003</v>
      </c>
      <c r="J24" s="9">
        <f>500+530</f>
        <v>1030</v>
      </c>
      <c r="K24" s="9">
        <v>2169</v>
      </c>
      <c r="L24" s="11">
        <f t="shared" si="1"/>
        <v>0.47487321346242506</v>
      </c>
      <c r="M24" s="7"/>
    </row>
    <row r="29" spans="9:14" x14ac:dyDescent="0.25">
      <c r="I29" s="5" t="s">
        <v>4</v>
      </c>
      <c r="J29" s="4"/>
      <c r="K29" s="4"/>
      <c r="L29" s="4"/>
      <c r="M29" s="4"/>
      <c r="N29" s="4"/>
    </row>
    <row r="30" spans="9:14" x14ac:dyDescent="0.25">
      <c r="I30" s="4" t="s">
        <v>5</v>
      </c>
      <c r="J30" s="4"/>
      <c r="K30" s="4"/>
    </row>
    <row r="32" spans="9:14" x14ac:dyDescent="0.25">
      <c r="J32" s="13" t="s">
        <v>6</v>
      </c>
      <c r="K32" t="s">
        <v>11</v>
      </c>
      <c r="L32" t="s">
        <v>12</v>
      </c>
      <c r="M32" s="15" t="s">
        <v>13</v>
      </c>
      <c r="N32" s="12" t="s">
        <v>14</v>
      </c>
    </row>
    <row r="33" spans="9:14" x14ac:dyDescent="0.25">
      <c r="I33">
        <v>2001</v>
      </c>
      <c r="J33" s="14">
        <f>399+150</f>
        <v>549</v>
      </c>
      <c r="K33" s="9">
        <v>150</v>
      </c>
      <c r="L33" s="9">
        <v>674</v>
      </c>
      <c r="M33" s="16">
        <f>SUM(K33:L33)</f>
        <v>824</v>
      </c>
      <c r="N33" s="11">
        <f>J33/M33</f>
        <v>0.66626213592233008</v>
      </c>
    </row>
    <row r="34" spans="9:14" x14ac:dyDescent="0.25">
      <c r="I34">
        <v>2002</v>
      </c>
      <c r="J34" s="14">
        <f>505+453</f>
        <v>958</v>
      </c>
      <c r="K34" s="9">
        <v>453</v>
      </c>
      <c r="L34" s="9">
        <v>1086</v>
      </c>
      <c r="M34" s="16">
        <f t="shared" ref="M34:M35" si="2">SUM(K34:L34)</f>
        <v>1539</v>
      </c>
      <c r="N34" s="11">
        <f t="shared" ref="N34:N35" si="3">J34/M34</f>
        <v>0.62248213125406104</v>
      </c>
    </row>
    <row r="35" spans="9:14" x14ac:dyDescent="0.25">
      <c r="I35">
        <v>2003</v>
      </c>
      <c r="J35" s="14">
        <f>500+530</f>
        <v>1030</v>
      </c>
      <c r="K35" s="9">
        <v>530</v>
      </c>
      <c r="L35" s="9">
        <v>1139</v>
      </c>
      <c r="M35" s="16">
        <f t="shared" si="2"/>
        <v>1669</v>
      </c>
      <c r="N35" s="11">
        <f t="shared" si="3"/>
        <v>0.61713600958657877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 ullah</cp:lastModifiedBy>
  <dcterms:created xsi:type="dcterms:W3CDTF">2020-07-04T12:48:55Z</dcterms:created>
  <dcterms:modified xsi:type="dcterms:W3CDTF">2025-04-28T07:05:57Z</dcterms:modified>
</cp:coreProperties>
</file>