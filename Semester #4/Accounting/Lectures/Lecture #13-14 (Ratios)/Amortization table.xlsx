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H:\"/>
    </mc:Choice>
  </mc:AlternateContent>
  <xr:revisionPtr revIDLastSave="0" documentId="13_ncr:1_{DB8164DB-8933-4D2C-A9EB-D2CBCF87BCE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mortization Table" sheetId="1" r:id="rId1"/>
    <sheet name="Amortization table 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1" l="1"/>
  <c r="B10" i="1"/>
  <c r="B8" i="1"/>
  <c r="C14" i="1" s="1"/>
  <c r="F9" i="2"/>
  <c r="D10" i="2" s="1"/>
  <c r="B6" i="2"/>
  <c r="C11" i="2" s="1"/>
  <c r="C11" i="1" l="1"/>
  <c r="C13" i="1"/>
  <c r="C12" i="1"/>
  <c r="C10" i="1"/>
  <c r="E10" i="1" s="1"/>
  <c r="F10" i="1" s="1"/>
  <c r="C14" i="2"/>
  <c r="C18" i="2"/>
  <c r="C13" i="2"/>
  <c r="C17" i="2"/>
  <c r="C21" i="2"/>
  <c r="C10" i="2"/>
  <c r="E10" i="2" s="1"/>
  <c r="F10" i="2" s="1"/>
  <c r="C12" i="2"/>
  <c r="C15" i="2"/>
  <c r="C19" i="2"/>
  <c r="C16" i="2"/>
  <c r="C20" i="2"/>
  <c r="B11" i="1" l="1"/>
  <c r="D11" i="1" s="1"/>
  <c r="E11" i="1" s="1"/>
  <c r="F11" i="1" s="1"/>
  <c r="D11" i="2"/>
  <c r="E11" i="2" s="1"/>
  <c r="F11" i="2" s="1"/>
  <c r="B12" i="1" l="1"/>
  <c r="D12" i="1" s="1"/>
  <c r="E12" i="1" s="1"/>
  <c r="F12" i="1"/>
  <c r="D12" i="2"/>
  <c r="E12" i="2" s="1"/>
  <c r="F12" i="2" s="1"/>
  <c r="B13" i="1" l="1"/>
  <c r="D13" i="1" s="1"/>
  <c r="E13" i="1" s="1"/>
  <c r="F13" i="1" s="1"/>
  <c r="D13" i="2"/>
  <c r="E13" i="2" s="1"/>
  <c r="F13" i="2" s="1"/>
  <c r="B14" i="1" l="1"/>
  <c r="D14" i="1" s="1"/>
  <c r="E14" i="1" s="1"/>
  <c r="F14" i="1" s="1"/>
  <c r="D14" i="2"/>
  <c r="E14" i="2" s="1"/>
  <c r="F14" i="2" s="1"/>
  <c r="D15" i="2" l="1"/>
  <c r="E15" i="2" s="1"/>
  <c r="F15" i="2" s="1"/>
  <c r="D16" i="2" l="1"/>
  <c r="E16" i="2" s="1"/>
  <c r="F16" i="2" s="1"/>
  <c r="D17" i="2" l="1"/>
  <c r="E17" i="2" s="1"/>
  <c r="F17" i="2" s="1"/>
  <c r="D18" i="2" l="1"/>
  <c r="E18" i="2" s="1"/>
  <c r="F18" i="2" s="1"/>
  <c r="D19" i="2" l="1"/>
  <c r="E19" i="2" s="1"/>
  <c r="F19" i="2" s="1"/>
  <c r="D20" i="2" l="1"/>
  <c r="E20" i="2" s="1"/>
  <c r="F20" i="2" s="1"/>
  <c r="D21" i="2" l="1"/>
  <c r="E21" i="2" s="1"/>
  <c r="F21" i="2" s="1"/>
</calcChain>
</file>

<file path=xl/sharedStrings.xml><?xml version="1.0" encoding="utf-8"?>
<sst xmlns="http://schemas.openxmlformats.org/spreadsheetml/2006/main" count="25" uniqueCount="19">
  <si>
    <t>periods</t>
  </si>
  <si>
    <t>Borrowing</t>
  </si>
  <si>
    <t>interest</t>
  </si>
  <si>
    <t xml:space="preserve">installemnt </t>
  </si>
  <si>
    <t>principal</t>
  </si>
  <si>
    <t>beginning balance</t>
  </si>
  <si>
    <t xml:space="preserve">Installment payment </t>
  </si>
  <si>
    <t>Ending balance</t>
  </si>
  <si>
    <t>Amortization Table</t>
  </si>
  <si>
    <t>Installment</t>
  </si>
  <si>
    <t>Interest Payment</t>
  </si>
  <si>
    <t>Principal payment</t>
  </si>
  <si>
    <t xml:space="preserve">installement </t>
  </si>
  <si>
    <t xml:space="preserve">Mr. XYZ borrowed money from a bank equal $100000, he has to pay it in 12 years and with a 12% of interest rate. Prepare an amortization table showing installment payment, interest payment and principal amount.  </t>
  </si>
  <si>
    <t xml:space="preserve">Solution: </t>
  </si>
  <si>
    <t xml:space="preserve">Example: </t>
  </si>
  <si>
    <t>example solution:</t>
  </si>
  <si>
    <t>Amortization Schedule (In Dollars)</t>
  </si>
  <si>
    <r>
      <t xml:space="preserve">Julie Miller is borrowing </t>
    </r>
    <r>
      <rPr>
        <b/>
        <shadow/>
        <sz val="11"/>
        <color rgb="FF42B200"/>
        <rFont val="Arial"/>
        <family val="2"/>
      </rPr>
      <t xml:space="preserve">$10,000 </t>
    </r>
    <r>
      <rPr>
        <b/>
        <sz val="11"/>
        <color rgb="FF000000"/>
        <rFont val="Arial"/>
        <family val="2"/>
      </rPr>
      <t xml:space="preserve">at a compound annual interest rate of </t>
    </r>
    <r>
      <rPr>
        <b/>
        <sz val="11"/>
        <color rgb="FFC277FF"/>
        <rFont val="Arial"/>
        <family val="2"/>
      </rPr>
      <t>12%</t>
    </r>
    <r>
      <rPr>
        <b/>
        <sz val="11"/>
        <color rgb="FF000000"/>
        <rFont val="Arial"/>
        <family val="2"/>
      </rPr>
      <t xml:space="preserve">.  Amortize the loan if </t>
    </r>
    <r>
      <rPr>
        <b/>
        <sz val="11"/>
        <color rgb="FFE5405D"/>
        <rFont val="Arial"/>
        <family val="2"/>
      </rPr>
      <t xml:space="preserve">annual payments </t>
    </r>
    <r>
      <rPr>
        <b/>
        <sz val="11"/>
        <color rgb="FF000000"/>
        <rFont val="Arial"/>
        <family val="2"/>
      </rPr>
      <t xml:space="preserve">are made for </t>
    </r>
    <r>
      <rPr>
        <b/>
        <sz val="11"/>
        <color rgb="FF114FFB"/>
        <rFont val="Arial"/>
        <family val="2"/>
      </rPr>
      <t>5 years</t>
    </r>
    <r>
      <rPr>
        <b/>
        <sz val="11"/>
        <color rgb="FF000000"/>
        <rFont val="Arial"/>
        <family val="2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</si>
</sst>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b/>
      <shadow/>
      <sz val="11"/>
      <color rgb="FF42B200"/>
      <name val="Arial"/>
      <family val="2"/>
    </font>
    <font>
      <b/>
      <sz val="11"/>
      <color rgb="FFC277FF"/>
      <name val="Arial"/>
      <family val="2"/>
    </font>
    <font>
      <b/>
      <sz val="11"/>
      <color rgb="FFE5405D"/>
      <name val="Arial"/>
      <family val="2"/>
    </font>
    <font>
      <b/>
      <sz val="11"/>
      <color rgb="FF114FFB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8" fontId="0" fillId="0" borderId="0" xfId="0" applyNumberFormat="1"/>
    <xf numFmtId="6" fontId="0" fillId="0" borderId="0" xfId="0" applyNumberFormat="1"/>
    <xf numFmtId="44" fontId="0" fillId="0" borderId="0" xfId="0" applyNumberFormat="1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/>
    <xf numFmtId="0" fontId="2" fillId="0" borderId="0" xfId="0" applyFont="1" applyAlignment="1">
      <alignment horizontal="center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23"/>
  <sheetViews>
    <sheetView tabSelected="1" zoomScale="110" zoomScaleNormal="110" workbookViewId="0">
      <selection activeCell="D19" sqref="D19"/>
    </sheetView>
  </sheetViews>
  <sheetFormatPr defaultRowHeight="15" x14ac:dyDescent="0.25"/>
  <cols>
    <col min="1" max="1" width="17.140625" customWidth="1"/>
    <col min="2" max="2" width="24.28515625" customWidth="1"/>
    <col min="3" max="3" width="25" customWidth="1"/>
    <col min="4" max="4" width="14.42578125" customWidth="1"/>
    <col min="5" max="5" width="18.7109375" customWidth="1"/>
    <col min="6" max="6" width="19.28515625" customWidth="1"/>
    <col min="7" max="7" width="11.5703125" bestFit="1" customWidth="1"/>
  </cols>
  <sheetData>
    <row r="2" spans="1:7" x14ac:dyDescent="0.25">
      <c r="A2" s="5" t="s">
        <v>15</v>
      </c>
      <c r="E2" s="8" t="s">
        <v>18</v>
      </c>
    </row>
    <row r="3" spans="1:7" x14ac:dyDescent="0.25">
      <c r="A3" s="6"/>
    </row>
    <row r="4" spans="1:7" x14ac:dyDescent="0.25">
      <c r="A4" s="5" t="s">
        <v>14</v>
      </c>
    </row>
    <row r="5" spans="1:7" x14ac:dyDescent="0.25">
      <c r="A5" s="6" t="s">
        <v>1</v>
      </c>
      <c r="B5" s="3">
        <v>10000</v>
      </c>
    </row>
    <row r="6" spans="1:7" x14ac:dyDescent="0.25">
      <c r="A6" s="6" t="s">
        <v>0</v>
      </c>
      <c r="B6" s="7">
        <v>5</v>
      </c>
    </row>
    <row r="7" spans="1:7" x14ac:dyDescent="0.25">
      <c r="A7" s="6" t="s">
        <v>2</v>
      </c>
      <c r="B7" s="3">
        <v>0.12</v>
      </c>
      <c r="G7" s="1"/>
    </row>
    <row r="8" spans="1:7" x14ac:dyDescent="0.25">
      <c r="A8" s="6" t="s">
        <v>12</v>
      </c>
      <c r="B8" s="1">
        <f>PMT(B7,B6,-B5)</f>
        <v>2774.097319410489</v>
      </c>
      <c r="D8" t="s">
        <v>17</v>
      </c>
    </row>
    <row r="9" spans="1:7" x14ac:dyDescent="0.25">
      <c r="A9" s="6" t="s">
        <v>0</v>
      </c>
      <c r="B9" t="s">
        <v>5</v>
      </c>
      <c r="C9" t="s">
        <v>6</v>
      </c>
      <c r="D9" t="s">
        <v>2</v>
      </c>
      <c r="E9" t="s">
        <v>4</v>
      </c>
      <c r="F9" t="s">
        <v>7</v>
      </c>
    </row>
    <row r="10" spans="1:7" x14ac:dyDescent="0.25">
      <c r="A10">
        <v>1</v>
      </c>
      <c r="B10" s="7">
        <f>B5</f>
        <v>10000</v>
      </c>
      <c r="C10" s="7">
        <f>B$8</f>
        <v>2774.097319410489</v>
      </c>
      <c r="D10" s="7">
        <f>B7*B10</f>
        <v>1200</v>
      </c>
      <c r="E10" s="7">
        <f>C10-D10</f>
        <v>1574.097319410489</v>
      </c>
      <c r="F10" s="7">
        <f>B10-E10</f>
        <v>8425.9026805895119</v>
      </c>
    </row>
    <row r="11" spans="1:7" x14ac:dyDescent="0.25">
      <c r="A11">
        <v>2</v>
      </c>
      <c r="B11" s="7">
        <f>F10</f>
        <v>8425.9026805895119</v>
      </c>
      <c r="C11" s="7">
        <f t="shared" ref="C11:C14" si="0">B$8</f>
        <v>2774.097319410489</v>
      </c>
      <c r="D11" s="7">
        <f>B7*B11</f>
        <v>1011.1083216707414</v>
      </c>
      <c r="E11" s="7">
        <f>C11-D11</f>
        <v>1762.9889977397477</v>
      </c>
      <c r="F11" s="7">
        <f>F10-E11</f>
        <v>6662.913682849764</v>
      </c>
    </row>
    <row r="12" spans="1:7" x14ac:dyDescent="0.25">
      <c r="A12">
        <v>3</v>
      </c>
      <c r="B12" s="7">
        <f>F11</f>
        <v>6662.913682849764</v>
      </c>
      <c r="C12" s="7">
        <f t="shared" si="0"/>
        <v>2774.097319410489</v>
      </c>
      <c r="D12" s="7">
        <f>B7*B12</f>
        <v>799.54964194197169</v>
      </c>
      <c r="E12" s="7">
        <f>C12-D12</f>
        <v>1974.5476774685173</v>
      </c>
      <c r="F12" s="7">
        <f>F11-E12</f>
        <v>4688.3660053812464</v>
      </c>
    </row>
    <row r="13" spans="1:7" x14ac:dyDescent="0.25">
      <c r="A13">
        <v>4</v>
      </c>
      <c r="B13" s="7">
        <f>F12</f>
        <v>4688.3660053812464</v>
      </c>
      <c r="C13" s="7">
        <f t="shared" si="0"/>
        <v>2774.097319410489</v>
      </c>
      <c r="D13" s="7">
        <f>B13*B7</f>
        <v>562.60392064574955</v>
      </c>
      <c r="E13" s="7">
        <f>C13-D13</f>
        <v>2211.4933987647396</v>
      </c>
      <c r="F13" s="7">
        <f>F12-E13</f>
        <v>2476.8726066165068</v>
      </c>
    </row>
    <row r="14" spans="1:7" x14ac:dyDescent="0.25">
      <c r="A14">
        <v>5</v>
      </c>
      <c r="B14" s="7">
        <f>F13</f>
        <v>2476.8726066165068</v>
      </c>
      <c r="C14" s="7">
        <f t="shared" si="0"/>
        <v>2774.097319410489</v>
      </c>
      <c r="D14" s="7">
        <f>B14*B7</f>
        <v>297.22471279398081</v>
      </c>
      <c r="E14" s="7">
        <f>C14-D14</f>
        <v>2476.8726066165082</v>
      </c>
      <c r="F14" s="7">
        <f>F13-E14</f>
        <v>0</v>
      </c>
    </row>
    <row r="15" spans="1:7" x14ac:dyDescent="0.25">
      <c r="B15" s="3"/>
      <c r="C15" s="3"/>
      <c r="D15" s="3"/>
      <c r="E15" s="3"/>
      <c r="F15" s="3"/>
    </row>
    <row r="16" spans="1:7" x14ac:dyDescent="0.25">
      <c r="B16" s="3"/>
      <c r="C16" s="3"/>
      <c r="D16" s="3"/>
      <c r="E16" s="3"/>
      <c r="F16" s="3"/>
    </row>
    <row r="17" spans="1:6" x14ac:dyDescent="0.25">
      <c r="B17" s="3"/>
      <c r="C17" s="3"/>
      <c r="D17" s="3"/>
      <c r="E17" s="3"/>
      <c r="F17" s="3"/>
    </row>
    <row r="18" spans="1:6" x14ac:dyDescent="0.25">
      <c r="B18" s="3"/>
      <c r="C18" s="3"/>
      <c r="D18" s="3"/>
      <c r="E18" s="3"/>
      <c r="F18" s="3"/>
    </row>
    <row r="19" spans="1:6" x14ac:dyDescent="0.25">
      <c r="B19" s="3"/>
      <c r="C19" s="3"/>
      <c r="D19" s="3"/>
      <c r="E19" s="3"/>
      <c r="F19" s="3"/>
    </row>
    <row r="20" spans="1:6" x14ac:dyDescent="0.25">
      <c r="B20" s="3"/>
      <c r="C20" s="3"/>
      <c r="D20" s="3"/>
      <c r="E20" s="3"/>
      <c r="F20" s="3"/>
    </row>
    <row r="21" spans="1:6" x14ac:dyDescent="0.25">
      <c r="A21">
        <v>12</v>
      </c>
      <c r="B21" s="3"/>
      <c r="C21" s="3"/>
      <c r="D21" s="3"/>
      <c r="E21" s="3"/>
      <c r="F21" s="3"/>
    </row>
    <row r="22" spans="1:6" x14ac:dyDescent="0.25">
      <c r="C22" s="2"/>
      <c r="D22" s="1"/>
      <c r="E22" s="1"/>
    </row>
    <row r="23" spans="1:6" x14ac:dyDescent="0.25">
      <c r="C23" s="1"/>
    </row>
  </sheetData>
  <pageMargins left="0.7" right="0.7" top="0.75" bottom="0.75" header="0.3" footer="0.3"/>
  <pageSetup paperSize="9"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1"/>
  <sheetViews>
    <sheetView workbookViewId="0">
      <selection activeCell="I8" sqref="I8"/>
    </sheetView>
  </sheetViews>
  <sheetFormatPr defaultRowHeight="15" x14ac:dyDescent="0.25"/>
  <cols>
    <col min="2" max="2" width="10.85546875" bestFit="1" customWidth="1"/>
    <col min="3" max="3" width="11.5703125" bestFit="1" customWidth="1"/>
    <col min="4" max="4" width="16.5703125" bestFit="1" customWidth="1"/>
    <col min="5" max="5" width="18.28515625" bestFit="1" customWidth="1"/>
    <col min="6" max="6" width="14.42578125" bestFit="1" customWidth="1"/>
  </cols>
  <sheetData>
    <row r="1" spans="1:6" x14ac:dyDescent="0.25">
      <c r="C1" t="s">
        <v>13</v>
      </c>
    </row>
    <row r="2" spans="1:6" x14ac:dyDescent="0.25">
      <c r="A2" s="4" t="s">
        <v>16</v>
      </c>
    </row>
    <row r="3" spans="1:6" x14ac:dyDescent="0.25">
      <c r="A3" t="s">
        <v>1</v>
      </c>
      <c r="B3" s="2">
        <v>100000</v>
      </c>
    </row>
    <row r="4" spans="1:6" x14ac:dyDescent="0.25">
      <c r="A4" t="s">
        <v>0</v>
      </c>
      <c r="B4">
        <v>12</v>
      </c>
    </row>
    <row r="5" spans="1:6" x14ac:dyDescent="0.25">
      <c r="A5" t="s">
        <v>2</v>
      </c>
      <c r="B5">
        <v>0.12</v>
      </c>
    </row>
    <row r="6" spans="1:6" x14ac:dyDescent="0.25">
      <c r="A6" t="s">
        <v>3</v>
      </c>
      <c r="B6" s="1">
        <f>PMT(B5,B4,-B3,0)</f>
        <v>16143.680759399576</v>
      </c>
      <c r="E6" t="s">
        <v>8</v>
      </c>
    </row>
    <row r="8" spans="1:6" x14ac:dyDescent="0.25">
      <c r="C8" t="s">
        <v>9</v>
      </c>
      <c r="D8" t="s">
        <v>10</v>
      </c>
      <c r="E8" t="s">
        <v>11</v>
      </c>
      <c r="F8" t="s">
        <v>7</v>
      </c>
    </row>
    <row r="9" spans="1:6" x14ac:dyDescent="0.25">
      <c r="B9">
        <v>0</v>
      </c>
      <c r="C9" s="3">
        <v>0</v>
      </c>
      <c r="D9" s="3">
        <v>0</v>
      </c>
      <c r="E9" s="3">
        <v>0</v>
      </c>
      <c r="F9" s="3">
        <f>B3</f>
        <v>100000</v>
      </c>
    </row>
    <row r="10" spans="1:6" x14ac:dyDescent="0.25">
      <c r="B10">
        <v>1</v>
      </c>
      <c r="C10" s="3">
        <f>B6</f>
        <v>16143.680759399576</v>
      </c>
      <c r="D10" s="3">
        <f t="shared" ref="D10:D21" si="0">$B$5*F9</f>
        <v>12000</v>
      </c>
      <c r="E10" s="3">
        <f>C10-D10</f>
        <v>4143.6807593995763</v>
      </c>
      <c r="F10" s="3">
        <f t="shared" ref="F10:F21" si="1">F9-E10</f>
        <v>95856.319240600424</v>
      </c>
    </row>
    <row r="11" spans="1:6" x14ac:dyDescent="0.25">
      <c r="B11">
        <v>2</v>
      </c>
      <c r="C11" s="3">
        <f>B6</f>
        <v>16143.680759399576</v>
      </c>
      <c r="D11" s="3">
        <f t="shared" si="0"/>
        <v>11502.758308872051</v>
      </c>
      <c r="E11" s="3">
        <f t="shared" ref="E11:E21" si="2">C11-D11</f>
        <v>4640.9224505275251</v>
      </c>
      <c r="F11" s="3">
        <f t="shared" si="1"/>
        <v>91215.396790072904</v>
      </c>
    </row>
    <row r="12" spans="1:6" x14ac:dyDescent="0.25">
      <c r="B12">
        <v>3</v>
      </c>
      <c r="C12" s="3">
        <f>B6</f>
        <v>16143.680759399576</v>
      </c>
      <c r="D12" s="3">
        <f t="shared" si="0"/>
        <v>10945.847614808748</v>
      </c>
      <c r="E12" s="3">
        <f>C12-D12</f>
        <v>5197.8331445908279</v>
      </c>
      <c r="F12" s="3">
        <f t="shared" si="1"/>
        <v>86017.563645482078</v>
      </c>
    </row>
    <row r="13" spans="1:6" x14ac:dyDescent="0.25">
      <c r="B13">
        <v>4</v>
      </c>
      <c r="C13" s="3">
        <f>B6</f>
        <v>16143.680759399576</v>
      </c>
      <c r="D13" s="3">
        <f t="shared" si="0"/>
        <v>10322.10763745785</v>
      </c>
      <c r="E13" s="3">
        <f t="shared" si="2"/>
        <v>5821.5731219417266</v>
      </c>
      <c r="F13" s="3">
        <f t="shared" si="1"/>
        <v>80195.990523540357</v>
      </c>
    </row>
    <row r="14" spans="1:6" x14ac:dyDescent="0.25">
      <c r="B14">
        <v>5</v>
      </c>
      <c r="C14" s="3">
        <f>B6</f>
        <v>16143.680759399576</v>
      </c>
      <c r="D14" s="3">
        <f t="shared" si="0"/>
        <v>9623.5188628248416</v>
      </c>
      <c r="E14" s="3">
        <f t="shared" si="2"/>
        <v>6520.1618965747348</v>
      </c>
      <c r="F14" s="3">
        <f t="shared" si="1"/>
        <v>73675.828626965624</v>
      </c>
    </row>
    <row r="15" spans="1:6" x14ac:dyDescent="0.25">
      <c r="B15">
        <v>6</v>
      </c>
      <c r="C15" s="3">
        <f>B6</f>
        <v>16143.680759399576</v>
      </c>
      <c r="D15" s="3">
        <f t="shared" si="0"/>
        <v>8841.0994352358739</v>
      </c>
      <c r="E15" s="3">
        <f t="shared" si="2"/>
        <v>7302.5813241637024</v>
      </c>
      <c r="F15" s="3">
        <f t="shared" si="1"/>
        <v>66373.247302801916</v>
      </c>
    </row>
    <row r="16" spans="1:6" x14ac:dyDescent="0.25">
      <c r="B16">
        <v>7</v>
      </c>
      <c r="C16" s="3">
        <f>B6</f>
        <v>16143.680759399576</v>
      </c>
      <c r="D16" s="3">
        <f t="shared" si="0"/>
        <v>7964.7896763362296</v>
      </c>
      <c r="E16" s="3">
        <f t="shared" si="2"/>
        <v>8178.8910830633467</v>
      </c>
      <c r="F16" s="3">
        <f t="shared" si="1"/>
        <v>58194.356219738569</v>
      </c>
    </row>
    <row r="17" spans="2:6" x14ac:dyDescent="0.25">
      <c r="B17">
        <v>8</v>
      </c>
      <c r="C17" s="3">
        <f>B6</f>
        <v>16143.680759399576</v>
      </c>
      <c r="D17" s="3">
        <f t="shared" si="0"/>
        <v>6983.322746368628</v>
      </c>
      <c r="E17" s="3">
        <f t="shared" si="2"/>
        <v>9160.3580130309492</v>
      </c>
      <c r="F17" s="3">
        <f t="shared" si="1"/>
        <v>49033.99820670762</v>
      </c>
    </row>
    <row r="18" spans="2:6" x14ac:dyDescent="0.25">
      <c r="B18">
        <v>9</v>
      </c>
      <c r="C18" s="3">
        <f>B6</f>
        <v>16143.680759399576</v>
      </c>
      <c r="D18" s="3">
        <f t="shared" si="0"/>
        <v>5884.0797848049142</v>
      </c>
      <c r="E18" s="3">
        <f t="shared" si="2"/>
        <v>10259.600974594661</v>
      </c>
      <c r="F18" s="3">
        <f t="shared" si="1"/>
        <v>38774.397232112955</v>
      </c>
    </row>
    <row r="19" spans="2:6" x14ac:dyDescent="0.25">
      <c r="B19">
        <v>10</v>
      </c>
      <c r="C19" s="3">
        <f>B6</f>
        <v>16143.680759399576</v>
      </c>
      <c r="D19" s="3">
        <f t="shared" si="0"/>
        <v>4652.9276678535543</v>
      </c>
      <c r="E19" s="3">
        <f t="shared" si="2"/>
        <v>11490.753091546023</v>
      </c>
      <c r="F19" s="3">
        <f t="shared" si="1"/>
        <v>27283.644140566932</v>
      </c>
    </row>
    <row r="20" spans="2:6" x14ac:dyDescent="0.25">
      <c r="B20">
        <v>11</v>
      </c>
      <c r="C20" s="3">
        <f>B6</f>
        <v>16143.680759399576</v>
      </c>
      <c r="D20" s="3">
        <f t="shared" si="0"/>
        <v>3274.0372968680317</v>
      </c>
      <c r="E20" s="3">
        <f t="shared" si="2"/>
        <v>12869.643462531545</v>
      </c>
      <c r="F20" s="3">
        <f t="shared" si="1"/>
        <v>14414.000678035387</v>
      </c>
    </row>
    <row r="21" spans="2:6" x14ac:dyDescent="0.25">
      <c r="B21">
        <v>12</v>
      </c>
      <c r="C21" s="3">
        <f>B6</f>
        <v>16143.680759399576</v>
      </c>
      <c r="D21" s="3">
        <f t="shared" si="0"/>
        <v>1729.6800813642465</v>
      </c>
      <c r="E21" s="3">
        <f t="shared" si="2"/>
        <v>14414.000678035331</v>
      </c>
      <c r="F21" s="3">
        <f t="shared" si="1"/>
        <v>5.6388671509921551E-11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Amortization Table</vt:lpstr>
      <vt:lpstr>Amortization table 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 Khan</dc:creator>
  <cp:lastModifiedBy>sami ullah</cp:lastModifiedBy>
  <dcterms:created xsi:type="dcterms:W3CDTF">2018-11-01T05:28:47Z</dcterms:created>
  <dcterms:modified xsi:type="dcterms:W3CDTF">2025-04-29T13:57:50Z</dcterms:modified>
</cp:coreProperties>
</file>