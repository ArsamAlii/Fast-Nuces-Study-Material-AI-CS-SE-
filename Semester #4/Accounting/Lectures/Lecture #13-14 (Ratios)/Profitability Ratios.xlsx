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ullah\Desktop\New folder\"/>
    </mc:Choice>
  </mc:AlternateContent>
  <bookViews>
    <workbookView xWindow="240" yWindow="60" windowWidth="20115" windowHeight="8010" activeTab="2"/>
  </bookViews>
  <sheets>
    <sheet name="BW Income Statement" sheetId="1" r:id="rId1"/>
    <sheet name="BW Balance sheet" sheetId="2" r:id="rId2"/>
    <sheet name="Profitability Ratios" sheetId="3" r:id="rId3"/>
  </sheets>
  <calcPr calcId="152511"/>
</workbook>
</file>

<file path=xl/calcChain.xml><?xml version="1.0" encoding="utf-8"?>
<calcChain xmlns="http://schemas.openxmlformats.org/spreadsheetml/2006/main">
  <c r="F43" i="3" l="1"/>
  <c r="G59" i="3" l="1"/>
  <c r="G60" i="3"/>
  <c r="G58" i="3"/>
  <c r="F44" i="3"/>
  <c r="F45" i="3"/>
  <c r="G30" i="3"/>
  <c r="G31" i="3"/>
  <c r="G29" i="3"/>
  <c r="D16" i="3"/>
  <c r="D17" i="3"/>
  <c r="D15" i="3"/>
</calcChain>
</file>

<file path=xl/sharedStrings.xml><?xml version="1.0" encoding="utf-8"?>
<sst xmlns="http://schemas.openxmlformats.org/spreadsheetml/2006/main" count="41" uniqueCount="34">
  <si>
    <t xml:space="preserve">Comparative Income Statement </t>
  </si>
  <si>
    <t>Basket Wondors'</t>
  </si>
  <si>
    <t>Liability and Owner's Equity</t>
  </si>
  <si>
    <t>Assets</t>
  </si>
  <si>
    <t xml:space="preserve">Comparative Balance Sheet </t>
  </si>
  <si>
    <r>
      <rPr>
        <b/>
        <sz val="11"/>
        <color theme="1"/>
        <rFont val="Calibri"/>
        <family val="2"/>
        <scheme val="minor"/>
      </rPr>
      <t xml:space="preserve">Net Profit Margin </t>
    </r>
    <r>
      <rPr>
        <sz val="11"/>
        <color theme="1"/>
        <rFont val="Calibri"/>
        <family val="2"/>
        <scheme val="minor"/>
      </rPr>
      <t>=</t>
    </r>
  </si>
  <si>
    <r>
      <rPr>
        <b/>
        <sz val="11"/>
        <rFont val="Calibri"/>
        <family val="2"/>
        <scheme val="minor"/>
      </rPr>
      <t xml:space="preserve">Gross Profit Margin </t>
    </r>
    <r>
      <rPr>
        <sz val="11"/>
        <rFont val="Calibri"/>
        <family val="2"/>
        <scheme val="minor"/>
      </rPr>
      <t xml:space="preserve">= </t>
    </r>
  </si>
  <si>
    <r>
      <rPr>
        <b/>
        <sz val="11"/>
        <color theme="1"/>
        <rFont val="Calibri"/>
        <family val="2"/>
        <scheme val="minor"/>
      </rPr>
      <t xml:space="preserve">Return on Equity (ROE) </t>
    </r>
    <r>
      <rPr>
        <sz val="11"/>
        <color theme="1"/>
        <rFont val="Calibri"/>
        <family val="2"/>
        <scheme val="minor"/>
      </rPr>
      <t>=</t>
    </r>
  </si>
  <si>
    <r>
      <rPr>
        <b/>
        <sz val="11"/>
        <color theme="1"/>
        <rFont val="Calibri"/>
        <family val="2"/>
        <scheme val="minor"/>
      </rPr>
      <t xml:space="preserve">Return on Investment (ROI) </t>
    </r>
    <r>
      <rPr>
        <sz val="11"/>
        <color theme="1"/>
        <rFont val="Calibri"/>
        <family val="2"/>
        <scheme val="minor"/>
      </rPr>
      <t>=</t>
    </r>
  </si>
  <si>
    <t>Types of Profitability Ratios:</t>
  </si>
  <si>
    <t>1. Gross profit margin Ratio</t>
  </si>
  <si>
    <t>2. Net Profit Margin Ratio</t>
  </si>
  <si>
    <t>3. Return on Investment (ROI)</t>
  </si>
  <si>
    <t>4. Return on Equity (ROE)</t>
  </si>
  <si>
    <t xml:space="preserve">5. Profitability Ratios: </t>
  </si>
  <si>
    <t xml:space="preserve">Indicates the firm profitability after taking accounts all the expenses and income taxes. </t>
  </si>
  <si>
    <t>Indicates the efficiency of operations and the firm pricing policy.</t>
  </si>
  <si>
    <t>Indicates profitability on the assets of the firm after all expenses and taxes.</t>
  </si>
  <si>
    <t>Indicates the profitability to the shareholders  of the firm (after all expenses and taxes)</t>
  </si>
  <si>
    <t>Gross Profit Margin</t>
  </si>
  <si>
    <t xml:space="preserve">A group of ratios that shows the profitability of a firm. </t>
  </si>
  <si>
    <t>Years</t>
  </si>
  <si>
    <t>Gross Profit</t>
  </si>
  <si>
    <t>Net Sale</t>
  </si>
  <si>
    <t>(Thousands of Dollars)</t>
  </si>
  <si>
    <t>Industry Averages</t>
  </si>
  <si>
    <t>Net Profit After taxes</t>
  </si>
  <si>
    <t>T. Assets</t>
  </si>
  <si>
    <t>ROI</t>
  </si>
  <si>
    <t>Gross profit margin</t>
  </si>
  <si>
    <t>Net Profit Margin</t>
  </si>
  <si>
    <t>Shareholders Equity</t>
  </si>
  <si>
    <t>ROE</t>
  </si>
  <si>
    <t>Table for Trend Analysis through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</si>
</sst>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44" fontId="0" fillId="0" borderId="0" xfId="1" applyFont="1"/>
    <xf numFmtId="2" fontId="0" fillId="0" borderId="0" xfId="0" applyNumberFormat="1"/>
    <xf numFmtId="1" fontId="0" fillId="0" borderId="0" xfId="0" applyNumberFormat="1"/>
    <xf numFmtId="0" fontId="0" fillId="0" borderId="0" xfId="0" applyFill="1"/>
    <xf numFmtId="0" fontId="8" fillId="2" borderId="0" xfId="0" applyFont="1" applyFill="1"/>
    <xf numFmtId="0" fontId="0" fillId="2" borderId="0" xfId="0" applyFill="1"/>
    <xf numFmtId="0" fontId="7" fillId="2" borderId="0" xfId="0" applyFont="1" applyFill="1"/>
    <xf numFmtId="0" fontId="0" fillId="3" borderId="0" xfId="0" applyFill="1"/>
    <xf numFmtId="0" fontId="5" fillId="3" borderId="0" xfId="0" applyFont="1" applyFill="1"/>
    <xf numFmtId="0" fontId="10" fillId="3" borderId="0" xfId="0" applyFont="1" applyFill="1"/>
    <xf numFmtId="0" fontId="0" fillId="2" borderId="0" xfId="0" applyFont="1" applyFill="1"/>
    <xf numFmtId="44" fontId="0" fillId="0" borderId="0" xfId="1" applyFont="1" applyFill="1"/>
    <xf numFmtId="164" fontId="0" fillId="0" borderId="0" xfId="1" applyNumberFormat="1" applyFont="1"/>
    <xf numFmtId="164" fontId="0" fillId="0" borderId="0" xfId="1" applyNumberFormat="1" applyFont="1" applyFill="1"/>
    <xf numFmtId="165" fontId="0" fillId="0" borderId="0" xfId="2" applyNumberFormat="1" applyFont="1"/>
    <xf numFmtId="10" fontId="0" fillId="0" borderId="0" xfId="2" applyNumberFormat="1" applyFont="1"/>
    <xf numFmtId="0" fontId="0" fillId="4" borderId="0" xfId="0" applyFill="1"/>
    <xf numFmtId="9" fontId="0" fillId="4" borderId="0" xfId="2" applyFont="1" applyFill="1"/>
    <xf numFmtId="166" fontId="0" fillId="4" borderId="0" xfId="2" applyNumberFormat="1" applyFont="1" applyFill="1"/>
    <xf numFmtId="166" fontId="0" fillId="4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73044545902351"/>
          <c:y val="4.1545178139861229E-2"/>
          <c:w val="0.5790104986876640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'Profitability Ratios'!$G$15</c:f>
              <c:strCache>
                <c:ptCount val="1"/>
                <c:pt idx="0">
                  <c:v>Gross profit margin</c:v>
                </c:pt>
              </c:strCache>
            </c:strRef>
          </c:tx>
          <c:cat>
            <c:numRef>
              <c:f>'Profitability Ratios'!$F$16:$F$18</c:f>
              <c:numCache>
                <c:formatCode>General</c:formatCode>
                <c:ptCount val="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</c:numCache>
            </c:numRef>
          </c:cat>
          <c:val>
            <c:numRef>
              <c:f>'Profitability Ratios'!$G$16:$G$18</c:f>
              <c:numCache>
                <c:formatCode>General</c:formatCode>
                <c:ptCount val="3"/>
                <c:pt idx="0">
                  <c:v>31</c:v>
                </c:pt>
                <c:pt idx="1">
                  <c:v>29</c:v>
                </c:pt>
                <c:pt idx="2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'Profitability Ratios'!$H$15</c:f>
              <c:strCache>
                <c:ptCount val="1"/>
                <c:pt idx="0">
                  <c:v>Industry Averages</c:v>
                </c:pt>
              </c:strCache>
            </c:strRef>
          </c:tx>
          <c:cat>
            <c:numRef>
              <c:f>'Profitability Ratios'!$F$16:$F$18</c:f>
              <c:numCache>
                <c:formatCode>General</c:formatCode>
                <c:ptCount val="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</c:numCache>
            </c:numRef>
          </c:cat>
          <c:val>
            <c:numRef>
              <c:f>'Profitability Ratios'!$H$16:$H$18</c:f>
              <c:numCache>
                <c:formatCode>0.0</c:formatCode>
                <c:ptCount val="3"/>
                <c:pt idx="0">
                  <c:v>27.6</c:v>
                </c:pt>
                <c:pt idx="1">
                  <c:v>30.8</c:v>
                </c:pt>
                <c:pt idx="2">
                  <c:v>31.1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133072"/>
        <c:axId val="-26142864"/>
      </c:lineChart>
      <c:catAx>
        <c:axId val="-2613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6142864"/>
        <c:crosses val="autoZero"/>
        <c:auto val="1"/>
        <c:lblAlgn val="ctr"/>
        <c:lblOffset val="100"/>
        <c:noMultiLvlLbl val="0"/>
      </c:catAx>
      <c:valAx>
        <c:axId val="-2614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133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47625</xdr:rowOff>
    </xdr:from>
    <xdr:to>
      <xdr:col>7</xdr:col>
      <xdr:colOff>504825</xdr:colOff>
      <xdr:row>22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38175"/>
          <a:ext cx="4295775" cy="383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6</xdr:col>
      <xdr:colOff>0</xdr:colOff>
      <xdr:row>20</xdr:row>
      <xdr:rowOff>19051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126"/>
          <a:ext cx="3657600" cy="306705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4</xdr:row>
      <xdr:rowOff>28576</xdr:rowOff>
    </xdr:from>
    <xdr:to>
      <xdr:col>11</xdr:col>
      <xdr:colOff>551993</xdr:colOff>
      <xdr:row>20</xdr:row>
      <xdr:rowOff>18676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1409701"/>
          <a:ext cx="3657143" cy="303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8</xdr:row>
      <xdr:rowOff>66675</xdr:rowOff>
    </xdr:from>
    <xdr:ext cx="1390649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2333625" y="533400"/>
              <a:ext cx="1390649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𝐺𝑟𝑜𝑠𝑠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𝑃𝑟𝑜𝑓𝑖𝑡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𝑆𝑎𝑙𝑒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2333625" y="533400"/>
              <a:ext cx="1390649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𝐺𝑟𝑜𝑠𝑠 𝑃𝑟𝑜𝑓𝑖𝑡)/(𝑁𝑒𝑡 𝑆𝑎𝑙𝑒)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409575</xdr:colOff>
      <xdr:row>23</xdr:row>
      <xdr:rowOff>104775</xdr:rowOff>
    </xdr:from>
    <xdr:ext cx="1628775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/>
            <xdr:cNvSpPr txBox="1"/>
          </xdr:nvSpPr>
          <xdr:spPr>
            <a:xfrm>
              <a:off x="2495550" y="2476500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𝑃𝑟𝑜𝑓𝑖𝑡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𝑎𝑓𝑡𝑒𝑟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𝑡𝑎𝑥𝑒𝑠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𝑆𝑎𝑙𝑒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2495550" y="2476500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𝑁𝑒𝑡 𝑃𝑟𝑜𝑓𝑖𝑡 𝑎𝑓𝑡𝑒𝑟 𝑡𝑎𝑥𝑒𝑠)/(𝑁𝑒𝑡 𝑆𝑎𝑙𝑒)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104775</xdr:colOff>
      <xdr:row>37</xdr:row>
      <xdr:rowOff>47625</xdr:rowOff>
    </xdr:from>
    <xdr:ext cx="1628775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3019425" y="6019800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𝑃𝑟𝑜𝑓𝑖𝑡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𝑎𝑓𝑡𝑒𝑟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𝑡𝑎𝑥𝑒𝑠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𝑇𝑜𝑡𝑎𝑙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𝐴𝑠𝑠𝑒𝑡𝑠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3019425" y="6019800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𝑁𝑒𝑡 𝑃𝑟𝑜𝑓𝑖𝑡 𝑎𝑓𝑡𝑒𝑟 𝑡𝑎𝑥𝑒𝑠)/(𝑇𝑜𝑡𝑎𝑙 𝐴𝑠𝑠𝑒𝑡𝑠)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800100</xdr:colOff>
      <xdr:row>52</xdr:row>
      <xdr:rowOff>57150</xdr:rowOff>
    </xdr:from>
    <xdr:ext cx="1628775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2886075" y="8886825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𝑃𝑟𝑜𝑓𝑖𝑡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𝑎𝑓𝑡𝑒𝑟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𝑡𝑎𝑥𝑒𝑠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𝑆h𝑎𝑟𝑒h𝑜𝑙𝑑𝑒𝑟𝑠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𝐸𝑞𝑢𝑖𝑡𝑦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2886075" y="8886825"/>
              <a:ext cx="1628775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𝑁𝑒𝑡 𝑃𝑟𝑜𝑓𝑖𝑡 𝑎𝑓𝑡𝑒𝑟 𝑡𝑎𝑥𝑒𝑠)/(𝑆ℎ𝑎𝑟𝑒ℎ𝑜𝑙𝑑𝑒𝑟𝑠 𝐸𝑞𝑢𝑖𝑡𝑦)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552450</xdr:colOff>
      <xdr:row>12</xdr:row>
      <xdr:rowOff>66675</xdr:rowOff>
    </xdr:from>
    <xdr:to>
      <xdr:col>12</xdr:col>
      <xdr:colOff>400050</xdr:colOff>
      <xdr:row>22</xdr:row>
      <xdr:rowOff>85725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"/>
  <sheetViews>
    <sheetView workbookViewId="0">
      <selection activeCell="M9" sqref="M9"/>
    </sheetView>
  </sheetViews>
  <sheetFormatPr defaultRowHeight="15" x14ac:dyDescent="0.25"/>
  <sheetData>
    <row r="1" spans="3:6" ht="23.25" x14ac:dyDescent="0.35">
      <c r="D1" s="2" t="s">
        <v>1</v>
      </c>
      <c r="E1" s="2"/>
      <c r="F1" s="2"/>
    </row>
    <row r="2" spans="3:6" ht="23.25" x14ac:dyDescent="0.35">
      <c r="C2" s="2" t="s">
        <v>0</v>
      </c>
      <c r="D2" s="2"/>
      <c r="E2" s="2"/>
      <c r="F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4"/>
  <sheetViews>
    <sheetView workbookViewId="0">
      <selection activeCell="P11" sqref="P11"/>
    </sheetView>
  </sheetViews>
  <sheetFormatPr defaultRowHeight="15" x14ac:dyDescent="0.25"/>
  <sheetData>
    <row r="2" spans="3:9" ht="23.25" x14ac:dyDescent="0.35">
      <c r="E2" s="2" t="s">
        <v>1</v>
      </c>
      <c r="F2" s="2"/>
      <c r="G2" s="2"/>
    </row>
    <row r="3" spans="3:9" ht="23.25" x14ac:dyDescent="0.35">
      <c r="D3" s="2" t="s">
        <v>4</v>
      </c>
      <c r="E3" s="2"/>
      <c r="F3" s="2"/>
      <c r="G3" s="2"/>
    </row>
    <row r="4" spans="3:9" ht="18.75" x14ac:dyDescent="0.3">
      <c r="C4" s="1" t="s">
        <v>3</v>
      </c>
      <c r="I4" s="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workbookViewId="0">
      <selection activeCell="H20" sqref="H20"/>
    </sheetView>
  </sheetViews>
  <sheetFormatPr defaultRowHeight="15" x14ac:dyDescent="0.25"/>
  <cols>
    <col min="3" max="3" width="13" customWidth="1"/>
    <col min="4" max="4" width="21.28515625" customWidth="1"/>
    <col min="5" max="5" width="20.28515625" customWidth="1"/>
    <col min="6" max="6" width="18.7109375" customWidth="1"/>
    <col min="7" max="7" width="19.28515625" customWidth="1"/>
    <col min="8" max="8" width="16.5703125" customWidth="1"/>
    <col min="10" max="10" width="18" customWidth="1"/>
    <col min="11" max="11" width="17" customWidth="1"/>
    <col min="15" max="15" width="14.28515625" customWidth="1"/>
    <col min="16" max="16" width="14.140625" customWidth="1"/>
  </cols>
  <sheetData>
    <row r="1" spans="1:16" ht="15.75" x14ac:dyDescent="0.25">
      <c r="A1" s="3"/>
    </row>
    <row r="2" spans="1:16" ht="15.75" x14ac:dyDescent="0.25">
      <c r="A2" s="3"/>
    </row>
    <row r="3" spans="1:16" s="9" customFormat="1" ht="21" x14ac:dyDescent="0.35">
      <c r="B3" s="8" t="s">
        <v>14</v>
      </c>
      <c r="D3" s="10"/>
      <c r="E3" s="9" t="s">
        <v>20</v>
      </c>
    </row>
    <row r="4" spans="1:16" s="9" customFormat="1" ht="21" x14ac:dyDescent="0.35">
      <c r="B4" s="8" t="s">
        <v>9</v>
      </c>
      <c r="D4" s="10"/>
    </row>
    <row r="5" spans="1:16" s="9" customFormat="1" ht="21" x14ac:dyDescent="0.35">
      <c r="B5" s="10" t="s">
        <v>10</v>
      </c>
      <c r="C5" s="14"/>
      <c r="D5" s="10"/>
    </row>
    <row r="6" spans="1:16" s="9" customFormat="1" ht="21" x14ac:dyDescent="0.35">
      <c r="B6" s="10" t="s">
        <v>11</v>
      </c>
      <c r="C6" s="14"/>
      <c r="D6" s="10"/>
    </row>
    <row r="7" spans="1:16" s="9" customFormat="1" ht="21" x14ac:dyDescent="0.35">
      <c r="B7" s="10" t="s">
        <v>12</v>
      </c>
      <c r="C7" s="14"/>
      <c r="D7" s="10"/>
    </row>
    <row r="8" spans="1:16" s="9" customFormat="1" ht="21" x14ac:dyDescent="0.35">
      <c r="B8" s="10" t="s">
        <v>13</v>
      </c>
      <c r="C8" s="14"/>
      <c r="D8" s="10"/>
    </row>
    <row r="9" spans="1:16" s="11" customFormat="1" x14ac:dyDescent="0.25">
      <c r="A9" s="12"/>
      <c r="B9" s="12"/>
      <c r="C9" s="12"/>
      <c r="D9" s="12"/>
      <c r="E9" s="12"/>
    </row>
    <row r="10" spans="1:16" s="11" customFormat="1" x14ac:dyDescent="0.25">
      <c r="A10" s="13">
        <v>1</v>
      </c>
      <c r="B10" s="12"/>
      <c r="C10" s="13" t="s">
        <v>6</v>
      </c>
      <c r="D10" s="12"/>
      <c r="E10" s="12"/>
      <c r="G10" s="11" t="s">
        <v>16</v>
      </c>
    </row>
    <row r="11" spans="1:16" s="11" customFormat="1" x14ac:dyDescent="0.25">
      <c r="A11" s="12"/>
      <c r="B11" s="12"/>
      <c r="C11" s="12"/>
      <c r="D11" s="12"/>
      <c r="E11" s="12"/>
    </row>
    <row r="12" spans="1:16" x14ac:dyDescent="0.25">
      <c r="B12" s="7"/>
      <c r="C12" s="7"/>
      <c r="D12" s="7"/>
      <c r="E12" s="7"/>
      <c r="P12" s="6"/>
    </row>
    <row r="13" spans="1:16" x14ac:dyDescent="0.25">
      <c r="B13" t="s">
        <v>24</v>
      </c>
      <c r="P13" s="6"/>
    </row>
    <row r="14" spans="1:16" x14ac:dyDescent="0.25">
      <c r="A14" t="s">
        <v>21</v>
      </c>
      <c r="B14" t="s">
        <v>22</v>
      </c>
      <c r="C14" t="s">
        <v>23</v>
      </c>
      <c r="D14" s="20" t="s">
        <v>19</v>
      </c>
      <c r="G14" t="s">
        <v>33</v>
      </c>
      <c r="P14" s="6"/>
    </row>
    <row r="15" spans="1:16" x14ac:dyDescent="0.25">
      <c r="A15">
        <v>2001</v>
      </c>
      <c r="B15" s="16">
        <v>386</v>
      </c>
      <c r="C15" s="17">
        <v>1235</v>
      </c>
      <c r="D15" s="21">
        <f>B15/C15</f>
        <v>0.31255060728744938</v>
      </c>
      <c r="F15" s="20"/>
      <c r="G15" s="20" t="s">
        <v>29</v>
      </c>
      <c r="H15" s="20" t="s">
        <v>25</v>
      </c>
    </row>
    <row r="16" spans="1:16" x14ac:dyDescent="0.25">
      <c r="A16" s="7">
        <v>2002</v>
      </c>
      <c r="B16" s="17">
        <v>605</v>
      </c>
      <c r="C16" s="17">
        <v>2106</v>
      </c>
      <c r="D16" s="21">
        <f t="shared" ref="D16:D17" si="0">B16/C16</f>
        <v>0.28727445394112061</v>
      </c>
      <c r="E16" s="7"/>
      <c r="F16" s="20">
        <v>2001</v>
      </c>
      <c r="G16" s="20">
        <v>31</v>
      </c>
      <c r="H16" s="22">
        <v>27.6</v>
      </c>
    </row>
    <row r="17" spans="1:17" s="7" customFormat="1" x14ac:dyDescent="0.25">
      <c r="A17" s="7">
        <v>2003</v>
      </c>
      <c r="B17" s="17">
        <v>612</v>
      </c>
      <c r="C17" s="17">
        <v>2211</v>
      </c>
      <c r="D17" s="21">
        <f t="shared" si="0"/>
        <v>0.27679782903663502</v>
      </c>
      <c r="F17" s="20">
        <v>2002</v>
      </c>
      <c r="G17" s="20">
        <v>29</v>
      </c>
      <c r="H17" s="23">
        <v>30.8</v>
      </c>
    </row>
    <row r="18" spans="1:17" s="7" customFormat="1" x14ac:dyDescent="0.25">
      <c r="F18" s="20">
        <v>2003</v>
      </c>
      <c r="G18" s="20">
        <v>28</v>
      </c>
      <c r="H18" s="23">
        <v>31.1</v>
      </c>
    </row>
    <row r="23" spans="1:17" x14ac:dyDescent="0.25">
      <c r="D23" s="4"/>
      <c r="E23" s="4"/>
      <c r="Q23" s="6"/>
    </row>
    <row r="24" spans="1:17" s="11" customFormat="1" x14ac:dyDescent="0.25"/>
    <row r="25" spans="1:17" s="11" customFormat="1" x14ac:dyDescent="0.25">
      <c r="A25" s="11">
        <v>2</v>
      </c>
      <c r="C25" s="11" t="s">
        <v>5</v>
      </c>
      <c r="G25" s="11" t="s">
        <v>15</v>
      </c>
    </row>
    <row r="26" spans="1:17" s="11" customFormat="1" ht="13.5" customHeight="1" x14ac:dyDescent="0.25"/>
    <row r="28" spans="1:17" s="7" customFormat="1" x14ac:dyDescent="0.25">
      <c r="D28" t="s">
        <v>21</v>
      </c>
      <c r="E28" s="7" t="s">
        <v>26</v>
      </c>
      <c r="F28" t="s">
        <v>23</v>
      </c>
      <c r="G28" s="7" t="s">
        <v>30</v>
      </c>
    </row>
    <row r="29" spans="1:17" x14ac:dyDescent="0.25">
      <c r="D29">
        <v>2001</v>
      </c>
      <c r="E29" s="4">
        <v>112</v>
      </c>
      <c r="F29" s="15">
        <v>1235</v>
      </c>
      <c r="G29" s="19">
        <f>E29/F29</f>
        <v>9.0688259109311747E-2</v>
      </c>
    </row>
    <row r="30" spans="1:17" x14ac:dyDescent="0.25">
      <c r="D30" s="7">
        <v>2002</v>
      </c>
      <c r="E30" s="4">
        <v>103</v>
      </c>
      <c r="F30" s="15">
        <v>2106</v>
      </c>
      <c r="G30" s="19">
        <f t="shared" ref="G30:G31" si="1">E30/F30</f>
        <v>4.8907882241215575E-2</v>
      </c>
    </row>
    <row r="31" spans="1:17" x14ac:dyDescent="0.25">
      <c r="D31" s="7">
        <v>2003</v>
      </c>
      <c r="E31" s="4">
        <v>91</v>
      </c>
      <c r="F31" s="15">
        <v>2211</v>
      </c>
      <c r="G31" s="19">
        <f t="shared" si="1"/>
        <v>4.1157847127996382E-2</v>
      </c>
    </row>
    <row r="35" spans="1:8" x14ac:dyDescent="0.25">
      <c r="E35" s="4"/>
      <c r="F35" s="4"/>
      <c r="G35" s="5"/>
    </row>
    <row r="36" spans="1:8" x14ac:dyDescent="0.25">
      <c r="E36" s="4"/>
      <c r="F36" s="4"/>
      <c r="G36" s="5"/>
    </row>
    <row r="37" spans="1:8" x14ac:dyDescent="0.25">
      <c r="E37" s="4"/>
      <c r="F37" s="4"/>
      <c r="G37" s="5"/>
    </row>
    <row r="38" spans="1:8" s="11" customFormat="1" x14ac:dyDescent="0.25"/>
    <row r="39" spans="1:8" s="11" customFormat="1" x14ac:dyDescent="0.25">
      <c r="A39" s="11">
        <v>3</v>
      </c>
      <c r="C39" s="11" t="s">
        <v>8</v>
      </c>
      <c r="G39" s="11" t="s">
        <v>17</v>
      </c>
    </row>
    <row r="40" spans="1:8" s="11" customFormat="1" x14ac:dyDescent="0.25"/>
    <row r="42" spans="1:8" x14ac:dyDescent="0.25">
      <c r="C42" t="s">
        <v>21</v>
      </c>
      <c r="D42" s="7" t="s">
        <v>26</v>
      </c>
      <c r="E42" t="s">
        <v>27</v>
      </c>
      <c r="F42" t="s">
        <v>28</v>
      </c>
    </row>
    <row r="43" spans="1:8" x14ac:dyDescent="0.25">
      <c r="C43">
        <v>2001</v>
      </c>
      <c r="D43" s="4">
        <v>112</v>
      </c>
      <c r="E43" s="4">
        <v>1223</v>
      </c>
      <c r="F43" s="19">
        <f>D43/E43</f>
        <v>9.1578086672117739E-2</v>
      </c>
    </row>
    <row r="44" spans="1:8" x14ac:dyDescent="0.25">
      <c r="C44" s="7">
        <v>2002</v>
      </c>
      <c r="D44" s="4">
        <v>103</v>
      </c>
      <c r="E44" s="4">
        <v>2044</v>
      </c>
      <c r="F44" s="19">
        <f t="shared" ref="F44:F45" si="2">D44/E44</f>
        <v>5.039138943248532E-2</v>
      </c>
    </row>
    <row r="45" spans="1:8" x14ac:dyDescent="0.25">
      <c r="C45" s="7">
        <v>2003</v>
      </c>
      <c r="D45" s="4">
        <v>91</v>
      </c>
      <c r="E45" s="4">
        <v>2169</v>
      </c>
      <c r="F45" s="19">
        <f t="shared" si="2"/>
        <v>4.1954817888427844E-2</v>
      </c>
    </row>
    <row r="46" spans="1:8" x14ac:dyDescent="0.25">
      <c r="F46" s="4"/>
      <c r="G46" s="4"/>
      <c r="H46" s="5"/>
    </row>
    <row r="47" spans="1:8" x14ac:dyDescent="0.25">
      <c r="F47" s="4"/>
      <c r="G47" s="4"/>
      <c r="H47" s="5"/>
    </row>
    <row r="48" spans="1:8" x14ac:dyDescent="0.25">
      <c r="F48" s="4"/>
      <c r="G48" s="4"/>
      <c r="H48" s="5"/>
    </row>
    <row r="53" spans="1:7" s="11" customFormat="1" x14ac:dyDescent="0.25"/>
    <row r="54" spans="1:7" s="11" customFormat="1" x14ac:dyDescent="0.25">
      <c r="A54" s="11">
        <v>4</v>
      </c>
      <c r="C54" s="11" t="s">
        <v>7</v>
      </c>
      <c r="G54" s="11" t="s">
        <v>18</v>
      </c>
    </row>
    <row r="55" spans="1:7" s="11" customFormat="1" x14ac:dyDescent="0.25"/>
    <row r="57" spans="1:7" x14ac:dyDescent="0.25">
      <c r="D57" t="s">
        <v>21</v>
      </c>
      <c r="E57" s="7" t="s">
        <v>26</v>
      </c>
      <c r="F57" t="s">
        <v>31</v>
      </c>
      <c r="G57" t="s">
        <v>32</v>
      </c>
    </row>
    <row r="58" spans="1:7" x14ac:dyDescent="0.25">
      <c r="D58">
        <v>2001</v>
      </c>
      <c r="E58" s="4">
        <v>112</v>
      </c>
      <c r="F58" s="4">
        <v>674</v>
      </c>
      <c r="G58" s="18">
        <f>E58/F58</f>
        <v>0.16617210682492581</v>
      </c>
    </row>
    <row r="59" spans="1:7" x14ac:dyDescent="0.25">
      <c r="D59" s="7">
        <v>2002</v>
      </c>
      <c r="E59" s="4">
        <v>103</v>
      </c>
      <c r="F59" s="4">
        <v>1086</v>
      </c>
      <c r="G59" s="18">
        <f t="shared" ref="G59:G60" si="3">E59/F59</f>
        <v>9.4843462246777158E-2</v>
      </c>
    </row>
    <row r="60" spans="1:7" x14ac:dyDescent="0.25">
      <c r="D60" s="7">
        <v>2003</v>
      </c>
      <c r="E60" s="4">
        <v>91</v>
      </c>
      <c r="F60" s="4">
        <v>1139</v>
      </c>
      <c r="G60" s="18">
        <f t="shared" si="3"/>
        <v>7.9894644424934158E-2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BW Income Statement</vt:lpstr>
      <vt:lpstr>BW Balance sheet</vt:lpstr>
      <vt:lpstr>Profitability Ratios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 ullah</cp:lastModifiedBy>
  <dcterms:created xsi:type="dcterms:W3CDTF">2020-07-05T15:53:19Z</dcterms:created>
  <dcterms:modified xsi:type="dcterms:W3CDTF">2024-11-15T09:44:58Z</dcterms:modified>
</cp:coreProperties>
</file>