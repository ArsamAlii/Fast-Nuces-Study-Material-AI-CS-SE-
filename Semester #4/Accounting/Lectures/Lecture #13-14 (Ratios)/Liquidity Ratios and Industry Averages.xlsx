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Leture 13 &amp; 14 Financial Statement Analysis in Excel Sheet\"/>
    </mc:Choice>
  </mc:AlternateContent>
  <xr:revisionPtr revIDLastSave="0" documentId="13_ncr:1_{53DE3D96-C20D-4389-A00E-EB02BFBCE5E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finition of Firm and industry" sheetId="1" r:id="rId1"/>
    <sheet name="Industry Average Example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C10" i="3"/>
  <c r="D13" i="3" l="1"/>
  <c r="F24" i="3"/>
  <c r="G18" i="3"/>
  <c r="E18" i="3"/>
  <c r="E19" i="3"/>
  <c r="G19" i="3" s="1"/>
  <c r="E20" i="3"/>
  <c r="G20" i="3" s="1"/>
  <c r="E21" i="3"/>
  <c r="G21" i="3" s="1"/>
  <c r="E22" i="3"/>
  <c r="G22" i="3" s="1"/>
  <c r="E17" i="3"/>
  <c r="G17" i="3" s="1"/>
  <c r="E4" i="3"/>
  <c r="E5" i="3"/>
  <c r="E6" i="3"/>
  <c r="E7" i="3"/>
  <c r="E8" i="3"/>
  <c r="E3" i="3"/>
  <c r="E24" i="3" l="1"/>
  <c r="F26" i="3" s="1"/>
</calcChain>
</file>

<file path=xl/sharedStrings.xml><?xml version="1.0" encoding="utf-8"?>
<sst xmlns="http://schemas.openxmlformats.org/spreadsheetml/2006/main" count="37" uniqueCount="29">
  <si>
    <t>What is the definition of a firm business?</t>
  </si>
  <si>
    <r>
      <t xml:space="preserve">A firm is a business organization, such as a corporation, limited liability company or partnership, that sells goods or services to make a profit </t>
    </r>
    <r>
      <rPr>
        <sz val="12"/>
        <color rgb="FFFF0000"/>
        <rFont val="Arial"/>
        <family val="2"/>
      </rPr>
      <t>(Investopedia)</t>
    </r>
  </si>
  <si>
    <t>What is Industry?</t>
  </si>
  <si>
    <t>Company D</t>
  </si>
  <si>
    <t>Company A</t>
  </si>
  <si>
    <t>Company B</t>
  </si>
  <si>
    <t>Company C</t>
  </si>
  <si>
    <t>Company E</t>
  </si>
  <si>
    <t>Company F</t>
  </si>
  <si>
    <t>Current Assets</t>
  </si>
  <si>
    <t>Current Liabilites</t>
  </si>
  <si>
    <t>Current Ratio</t>
  </si>
  <si>
    <t>A.C.A/A.C.L</t>
  </si>
  <si>
    <t>Average C.A</t>
  </si>
  <si>
    <t>Average C.L</t>
  </si>
  <si>
    <r>
      <t>t</t>
    </r>
    <r>
      <rPr>
        <sz val="12"/>
        <color theme="1"/>
        <rFont val="Arial"/>
        <family val="2"/>
      </rPr>
      <t xml:space="preserve">he aggregate of manufacturing or technically productive enterprises in a particular field, often named after its principal product:the </t>
    </r>
    <r>
      <rPr>
        <sz val="12"/>
        <color rgb="FF00B050"/>
        <rFont val="Arial"/>
        <family val="2"/>
      </rPr>
      <t>automobile industry; the steel industry.</t>
    </r>
    <r>
      <rPr>
        <sz val="12"/>
        <color theme="1"/>
        <rFont val="Arial"/>
        <family val="2"/>
      </rPr>
      <t xml:space="preserve"> Collection of firms producing the same goods or providing the same services is called industry.</t>
    </r>
  </si>
  <si>
    <t>Industry Ratio</t>
  </si>
  <si>
    <t>C.A/C.L</t>
  </si>
  <si>
    <t>Stronger Current Ratio</t>
  </si>
  <si>
    <t>Weeker Current Ratio</t>
  </si>
  <si>
    <t>Inventory</t>
  </si>
  <si>
    <t>Quick Assets= C.A- Inv</t>
  </si>
  <si>
    <t>Quick Ratio= Quick assets/C.L</t>
  </si>
  <si>
    <t>Avr Quick Assets</t>
  </si>
  <si>
    <t>Industry Quick ratio</t>
  </si>
  <si>
    <t>Average Quick assets/Average C.L</t>
  </si>
  <si>
    <t>Quick Ratio or Acid Test ratio</t>
  </si>
  <si>
    <t>Quick ratio = C.A- Inventory - Prepaids/C.L</t>
  </si>
  <si>
    <t>Current Ratio =C.A/C.L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</si>
</sst>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525252"/>
      <name val="Arial"/>
      <family val="2"/>
    </font>
    <font>
      <sz val="12"/>
      <color rgb="FFFF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rgb="FF00B050"/>
      <name val="Arial"/>
      <family val="2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7" fillId="0" borderId="0" xfId="0" applyFont="1"/>
    <xf numFmtId="44" fontId="0" fillId="0" borderId="0" xfId="1" applyFont="1"/>
    <xf numFmtId="9" fontId="0" fillId="0" borderId="0" xfId="2" applyFont="1"/>
    <xf numFmtId="0" fontId="0" fillId="2" borderId="0" xfId="0" applyFill="1"/>
    <xf numFmtId="44" fontId="0" fillId="2" borderId="0" xfId="0" applyNumberFormat="1" applyFill="1"/>
    <xf numFmtId="2" fontId="0" fillId="0" borderId="0" xfId="2" applyNumberFormat="1" applyFont="1"/>
    <xf numFmtId="44" fontId="0" fillId="0" borderId="0" xfId="0" applyNumberFormat="1"/>
    <xf numFmtId="9" fontId="0" fillId="2" borderId="0" xfId="2" applyFont="1" applyFill="1"/>
    <xf numFmtId="9" fontId="7" fillId="2" borderId="0" xfId="2" applyFont="1" applyFill="1"/>
    <xf numFmtId="0" fontId="9" fillId="2" borderId="0" xfId="0" applyFont="1" applyFill="1"/>
    <xf numFmtId="9" fontId="7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6"/>
  <sheetViews>
    <sheetView workbookViewId="0">
      <selection activeCell="B14" sqref="B14"/>
    </sheetView>
  </sheetViews>
  <sheetFormatPr defaultRowHeight="15" x14ac:dyDescent="0.25"/>
  <cols>
    <col min="2" max="2" width="79.28515625" customWidth="1"/>
  </cols>
  <sheetData>
    <row r="3" spans="2:2" ht="22.5" customHeight="1" x14ac:dyDescent="0.25">
      <c r="B3" s="1" t="s">
        <v>0</v>
      </c>
    </row>
    <row r="4" spans="2:2" ht="48.75" customHeight="1" x14ac:dyDescent="0.25">
      <c r="B4" s="2" t="s">
        <v>1</v>
      </c>
    </row>
    <row r="5" spans="2:2" ht="18.75" x14ac:dyDescent="0.3">
      <c r="B5" s="4" t="s">
        <v>2</v>
      </c>
    </row>
    <row r="6" spans="2:2" ht="60.75" x14ac:dyDescent="0.25">
      <c r="B6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abSelected="1" zoomScale="160" zoomScaleNormal="160" workbookViewId="0">
      <selection activeCell="G2" sqref="G2"/>
    </sheetView>
  </sheetViews>
  <sheetFormatPr defaultRowHeight="15" x14ac:dyDescent="0.25"/>
  <cols>
    <col min="2" max="2" width="15.140625" customWidth="1"/>
    <col min="3" max="3" width="15" customWidth="1"/>
    <col min="4" max="4" width="16.85546875" customWidth="1"/>
    <col min="5" max="5" width="23.5703125" customWidth="1"/>
    <col min="6" max="6" width="32.5703125" customWidth="1"/>
    <col min="12" max="12" width="9.140625" customWidth="1"/>
  </cols>
  <sheetData>
    <row r="1" spans="1:14" ht="18.75" x14ac:dyDescent="0.3">
      <c r="E1" s="4" t="s">
        <v>11</v>
      </c>
    </row>
    <row r="2" spans="1:14" x14ac:dyDescent="0.25">
      <c r="C2" t="s">
        <v>9</v>
      </c>
      <c r="D2" t="s">
        <v>10</v>
      </c>
      <c r="E2" t="s">
        <v>17</v>
      </c>
      <c r="G2" t="s">
        <v>28</v>
      </c>
    </row>
    <row r="3" spans="1:14" x14ac:dyDescent="0.25">
      <c r="A3" s="7">
        <v>2018</v>
      </c>
      <c r="B3" t="s">
        <v>4</v>
      </c>
      <c r="C3" s="5">
        <v>12000</v>
      </c>
      <c r="D3" s="5">
        <v>8000</v>
      </c>
      <c r="E3" s="6">
        <f>C3/D3</f>
        <v>1.5</v>
      </c>
      <c r="F3" s="9"/>
    </row>
    <row r="4" spans="1:14" x14ac:dyDescent="0.25">
      <c r="B4" t="s">
        <v>5</v>
      </c>
      <c r="C4" s="5">
        <v>15000</v>
      </c>
      <c r="D4" s="5">
        <v>9500</v>
      </c>
      <c r="E4" s="6">
        <f t="shared" ref="E4:E8" si="0">C4/D4</f>
        <v>1.5789473684210527</v>
      </c>
      <c r="F4" s="9"/>
    </row>
    <row r="5" spans="1:14" x14ac:dyDescent="0.25">
      <c r="B5" t="s">
        <v>6</v>
      </c>
      <c r="C5" s="5">
        <v>16500</v>
      </c>
      <c r="D5" s="5">
        <v>9400</v>
      </c>
      <c r="E5" s="11">
        <f t="shared" si="0"/>
        <v>1.7553191489361701</v>
      </c>
      <c r="F5" s="9" t="s">
        <v>18</v>
      </c>
    </row>
    <row r="6" spans="1:14" x14ac:dyDescent="0.25">
      <c r="B6" t="s">
        <v>3</v>
      </c>
      <c r="C6" s="5">
        <v>17600</v>
      </c>
      <c r="D6" s="5">
        <v>11000</v>
      </c>
      <c r="E6" s="6">
        <f t="shared" si="0"/>
        <v>1.6</v>
      </c>
      <c r="F6" s="9"/>
    </row>
    <row r="7" spans="1:14" x14ac:dyDescent="0.25">
      <c r="B7" t="s">
        <v>7</v>
      </c>
      <c r="C7" s="5">
        <v>18000</v>
      </c>
      <c r="D7" s="5">
        <v>12000</v>
      </c>
      <c r="E7" s="6">
        <f t="shared" si="0"/>
        <v>1.5</v>
      </c>
      <c r="F7" s="9"/>
    </row>
    <row r="8" spans="1:14" x14ac:dyDescent="0.25">
      <c r="B8" t="s">
        <v>8</v>
      </c>
      <c r="C8" s="5">
        <v>10000</v>
      </c>
      <c r="D8" s="5">
        <v>14000</v>
      </c>
      <c r="E8" s="11">
        <f t="shared" si="0"/>
        <v>0.7142857142857143</v>
      </c>
      <c r="F8" s="9" t="s">
        <v>19</v>
      </c>
      <c r="I8" s="6"/>
      <c r="J8" s="6"/>
      <c r="L8" s="6"/>
      <c r="M8" s="6"/>
      <c r="N8" s="6"/>
    </row>
    <row r="9" spans="1:14" x14ac:dyDescent="0.25">
      <c r="I9" s="6"/>
      <c r="J9" s="6"/>
      <c r="L9" s="6"/>
      <c r="M9" s="6"/>
      <c r="N9" s="6"/>
    </row>
    <row r="10" spans="1:14" x14ac:dyDescent="0.25">
      <c r="B10" t="s">
        <v>13</v>
      </c>
      <c r="C10" s="8">
        <f>AVERAGE(C3:C8)</f>
        <v>14850</v>
      </c>
      <c r="D10" t="s">
        <v>14</v>
      </c>
      <c r="E10" s="8">
        <f>AVERAGE(D3:D8)</f>
        <v>10650</v>
      </c>
      <c r="I10" s="6"/>
      <c r="J10" s="6"/>
      <c r="L10" s="6"/>
      <c r="M10" s="6"/>
      <c r="N10" s="6"/>
    </row>
    <row r="11" spans="1:14" x14ac:dyDescent="0.25">
      <c r="I11" s="6"/>
      <c r="J11" s="6"/>
      <c r="K11" s="6"/>
      <c r="L11" s="6"/>
      <c r="M11" s="6"/>
      <c r="N11" s="6"/>
    </row>
    <row r="12" spans="1:14" x14ac:dyDescent="0.25">
      <c r="C12" t="s">
        <v>16</v>
      </c>
      <c r="D12" t="s">
        <v>12</v>
      </c>
      <c r="G12" t="s">
        <v>27</v>
      </c>
      <c r="I12" s="6"/>
      <c r="J12" s="6"/>
      <c r="K12" s="6"/>
      <c r="L12" s="6"/>
      <c r="M12" s="6"/>
      <c r="N12" s="6"/>
    </row>
    <row r="13" spans="1:14" ht="18.75" x14ac:dyDescent="0.3">
      <c r="D13" s="12">
        <f>C10/E10</f>
        <v>1.3943661971830985</v>
      </c>
      <c r="I13" s="6"/>
      <c r="J13" s="6"/>
      <c r="K13" s="6"/>
      <c r="L13" s="6"/>
      <c r="M13" s="6"/>
      <c r="N13" s="6"/>
    </row>
    <row r="15" spans="1:14" ht="18.75" x14ac:dyDescent="0.3">
      <c r="E15" s="4" t="s">
        <v>26</v>
      </c>
    </row>
    <row r="16" spans="1:14" x14ac:dyDescent="0.25">
      <c r="C16" t="s">
        <v>9</v>
      </c>
      <c r="D16" t="s">
        <v>20</v>
      </c>
      <c r="E16" t="s">
        <v>21</v>
      </c>
      <c r="F16" t="s">
        <v>10</v>
      </c>
      <c r="G16" t="s">
        <v>22</v>
      </c>
    </row>
    <row r="17" spans="1:7" x14ac:dyDescent="0.25">
      <c r="A17" s="7">
        <v>2018</v>
      </c>
      <c r="B17" t="s">
        <v>4</v>
      </c>
      <c r="C17" s="5">
        <v>12000</v>
      </c>
      <c r="D17" s="5">
        <v>4000</v>
      </c>
      <c r="E17" s="10">
        <f>C17-D17</f>
        <v>8000</v>
      </c>
      <c r="F17" s="5">
        <v>8000</v>
      </c>
      <c r="G17" s="6">
        <f>E17/F17</f>
        <v>1</v>
      </c>
    </row>
    <row r="18" spans="1:7" x14ac:dyDescent="0.25">
      <c r="B18" t="s">
        <v>5</v>
      </c>
      <c r="C18" s="5">
        <v>15000</v>
      </c>
      <c r="D18" s="5">
        <v>4500</v>
      </c>
      <c r="E18" s="10">
        <f t="shared" ref="E18:E22" si="1">C18-D18</f>
        <v>10500</v>
      </c>
      <c r="F18" s="5">
        <v>9500</v>
      </c>
      <c r="G18" s="6">
        <f t="shared" ref="G18:G22" si="2">E18/F18</f>
        <v>1.1052631578947369</v>
      </c>
    </row>
    <row r="19" spans="1:7" x14ac:dyDescent="0.25">
      <c r="B19" t="s">
        <v>6</v>
      </c>
      <c r="C19" s="5">
        <v>16500</v>
      </c>
      <c r="D19" s="5">
        <v>5000</v>
      </c>
      <c r="E19" s="10">
        <f t="shared" si="1"/>
        <v>11500</v>
      </c>
      <c r="F19" s="5">
        <v>9400</v>
      </c>
      <c r="G19" s="6">
        <f t="shared" si="2"/>
        <v>1.2234042553191489</v>
      </c>
    </row>
    <row r="20" spans="1:7" x14ac:dyDescent="0.25">
      <c r="B20" t="s">
        <v>3</v>
      </c>
      <c r="C20" s="5">
        <v>17600</v>
      </c>
      <c r="D20" s="5">
        <v>3000</v>
      </c>
      <c r="E20" s="10">
        <f t="shared" si="1"/>
        <v>14600</v>
      </c>
      <c r="F20" s="5">
        <v>11000</v>
      </c>
      <c r="G20" s="6">
        <f t="shared" si="2"/>
        <v>1.3272727272727274</v>
      </c>
    </row>
    <row r="21" spans="1:7" x14ac:dyDescent="0.25">
      <c r="B21" t="s">
        <v>7</v>
      </c>
      <c r="C21" s="5">
        <v>18000</v>
      </c>
      <c r="D21" s="5">
        <v>4700</v>
      </c>
      <c r="E21" s="10">
        <f t="shared" si="1"/>
        <v>13300</v>
      </c>
      <c r="F21" s="5">
        <v>12000</v>
      </c>
      <c r="G21" s="6">
        <f t="shared" si="2"/>
        <v>1.1083333333333334</v>
      </c>
    </row>
    <row r="22" spans="1:7" x14ac:dyDescent="0.25">
      <c r="B22" t="s">
        <v>8</v>
      </c>
      <c r="C22" s="5">
        <v>10000</v>
      </c>
      <c r="D22" s="5">
        <v>3500</v>
      </c>
      <c r="E22" s="10">
        <f t="shared" si="1"/>
        <v>6500</v>
      </c>
      <c r="F22" s="5">
        <v>14000</v>
      </c>
      <c r="G22" s="6">
        <f t="shared" si="2"/>
        <v>0.4642857142857143</v>
      </c>
    </row>
    <row r="24" spans="1:7" x14ac:dyDescent="0.25">
      <c r="D24" t="s">
        <v>23</v>
      </c>
      <c r="E24" s="10">
        <f>AVERAGE(E17:E22)</f>
        <v>10733.333333333334</v>
      </c>
      <c r="F24" s="10">
        <f>AVERAGE(F17:F22)</f>
        <v>10650</v>
      </c>
    </row>
    <row r="25" spans="1:7" ht="15.75" x14ac:dyDescent="0.25">
      <c r="E25" t="s">
        <v>24</v>
      </c>
      <c r="F25" s="13" t="s">
        <v>25</v>
      </c>
    </row>
    <row r="26" spans="1:7" ht="18.75" x14ac:dyDescent="0.3">
      <c r="F26" s="14">
        <f>E24/F24</f>
        <v>1.0078247261345854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3" sqref="B3:B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Definition of Firm and industry</vt:lpstr>
      <vt:lpstr>Industry Average Example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lh8 academic</cp:lastModifiedBy>
  <dcterms:created xsi:type="dcterms:W3CDTF">2020-07-03T03:18:19Z</dcterms:created>
  <dcterms:modified xsi:type="dcterms:W3CDTF">2025-04-29T12:32:16Z</dcterms:modified>
</cp:coreProperties>
</file>