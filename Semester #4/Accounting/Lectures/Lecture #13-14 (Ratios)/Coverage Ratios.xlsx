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Leture 13 &amp; 14 Financial Statement Analysis in Excel Sheet\"/>
    </mc:Choice>
  </mc:AlternateContent>
  <xr:revisionPtr revIDLastSave="0" documentId="13_ncr:1_{AB0C0A24-D9E6-4DB1-A565-1D3DA11BDB1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W Income Statement" sheetId="1" r:id="rId1"/>
    <sheet name="BW Balance sheet" sheetId="2" r:id="rId2"/>
    <sheet name="Coverage Ratio" sheetId="5" r:id="rId3"/>
    <sheet name="Activity Rati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F11" i="5"/>
  <c r="F9" i="5"/>
</calcChain>
</file>

<file path=xl/sharedStrings.xml><?xml version="1.0" encoding="utf-8"?>
<sst xmlns="http://schemas.openxmlformats.org/spreadsheetml/2006/main" count="23" uniqueCount="21">
  <si>
    <t xml:space="preserve">Comparative Income Statement </t>
  </si>
  <si>
    <t>Basket Wondors'</t>
  </si>
  <si>
    <t>Liability and Owner's Equity</t>
  </si>
  <si>
    <t>Assets</t>
  </si>
  <si>
    <t xml:space="preserve">Comparative Balance Sheet </t>
  </si>
  <si>
    <t xml:space="preserve">Interest Coverage Ratios = </t>
  </si>
  <si>
    <t>4. Activity Ratios</t>
  </si>
  <si>
    <t xml:space="preserve">Receivables Turnover = </t>
  </si>
  <si>
    <t>Average Collection Period (ACP) =</t>
  </si>
  <si>
    <t>or Receivables Turnover in days</t>
  </si>
  <si>
    <t>=</t>
  </si>
  <si>
    <t xml:space="preserve">Payable Turnover = </t>
  </si>
  <si>
    <t xml:space="preserve">Payable Turnover in days = </t>
  </si>
  <si>
    <t xml:space="preserve">Inventory Turnover = </t>
  </si>
  <si>
    <t xml:space="preserve">Total Assets Turnover = </t>
  </si>
  <si>
    <t>3. Coverage Ratios (Income Statement Ratio)</t>
  </si>
  <si>
    <t>EBIT stand for Earning Before Interest and Taxes</t>
  </si>
  <si>
    <t>EBIT</t>
  </si>
  <si>
    <t>Interest Expense</t>
  </si>
  <si>
    <t>Interest Coverage Ratio</t>
  </si>
  <si>
    <t>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</si>
</sst>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2" borderId="0" xfId="0" applyFill="1"/>
    <xf numFmtId="44" fontId="0" fillId="0" borderId="0" xfId="1" applyFont="1"/>
    <xf numFmtId="2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47625</xdr:rowOff>
    </xdr:from>
    <xdr:to>
      <xdr:col>7</xdr:col>
      <xdr:colOff>504825</xdr:colOff>
      <xdr:row>22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38175"/>
          <a:ext cx="4295775" cy="383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6</xdr:col>
      <xdr:colOff>0</xdr:colOff>
      <xdr:row>20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126"/>
          <a:ext cx="3657600" cy="3067050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4</xdr:row>
      <xdr:rowOff>28576</xdr:rowOff>
    </xdr:from>
    <xdr:to>
      <xdr:col>11</xdr:col>
      <xdr:colOff>551993</xdr:colOff>
      <xdr:row>20</xdr:row>
      <xdr:rowOff>18676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1409701"/>
          <a:ext cx="3657143" cy="303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1</xdr:row>
      <xdr:rowOff>85726</xdr:rowOff>
    </xdr:from>
    <xdr:ext cx="1276350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228850" y="466726"/>
              <a:ext cx="12763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𝐸𝐵𝐼𝑇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𝐼𝑛𝑡𝑒𝑟𝑒𝑠𝑡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𝐶h𝑎𝑟𝑔𝑒𝑠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228850" y="466726"/>
              <a:ext cx="12763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𝐸𝐵𝐼𝑇/(𝐼𝑛𝑡𝑒𝑟𝑒𝑠𝑡 𝐶ℎ𝑎𝑟𝑔𝑒𝑠)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257174</xdr:colOff>
      <xdr:row>1</xdr:row>
      <xdr:rowOff>57150</xdr:rowOff>
    </xdr:from>
    <xdr:ext cx="17240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2695574" y="217170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𝑅𝑒𝑐𝑒𝑖𝑣𝑎𝑏𝑙𝑒𝑠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𝐴𝑛𝑛𝑢𝑎𝑙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𝑁𝑒𝑡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𝐶𝑟𝑒𝑑𝑖𝑡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𝑆𝑎𝑙𝑒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2695574" y="217170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0" i="0">
                  <a:latin typeface="Cambria Math"/>
                </a:rPr>
                <a:t>𝑅𝑒𝑐𝑒𝑖𝑣𝑎𝑏𝑙𝑒𝑠/(𝐴𝑛𝑛𝑢𝑎𝑙 𝑁𝑒𝑡 𝐶𝑟𝑒𝑑𝑖𝑡 𝑆𝑎𝑙𝑒)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200025</xdr:colOff>
      <xdr:row>1</xdr:row>
      <xdr:rowOff>66675</xdr:rowOff>
    </xdr:from>
    <xdr:ext cx="17240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8734425" y="2181225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𝐷𝑎𝑦𝑠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𝑖𝑛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𝑡h𝑒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𝑦𝑒𝑎𝑟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𝑅𝑒𝑐𝑒𝑖𝑣𝑎𝑏𝑙𝑒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8734425" y="2181225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𝐷𝑎𝑦𝑠 𝑖𝑛 𝑡ℎ𝑒 𝑦𝑒𝑎𝑟)/(𝑅𝑒𝑐𝑒𝑖𝑣𝑎𝑏𝑙𝑒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180975</xdr:colOff>
      <xdr:row>1</xdr:row>
      <xdr:rowOff>28575</xdr:rowOff>
    </xdr:from>
    <xdr:ext cx="17621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>
              <a:off x="10544175" y="2143125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365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𝑅𝑒𝑐𝑒𝑖𝑣𝑎𝑏𝑙𝑒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10544175" y="2143125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0" i="0">
                  <a:latin typeface="Cambria Math"/>
                </a:rPr>
                <a:t>365/(𝑅𝑒𝑐𝑒𝑖𝑣𝑎𝑏𝑙𝑒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11</xdr:row>
      <xdr:rowOff>57150</xdr:rowOff>
    </xdr:from>
    <xdr:ext cx="2076450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2438400" y="3505200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𝐴𝑐𝑐𝑜𝑢𝑛𝑡𝑠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𝑃𝑎𝑦𝑎𝑏𝑙𝑒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𝐴𝑛𝑛𝑢𝑎𝑙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𝑁𝑒𝑡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𝐶𝑟𝑒𝑑𝑖𝑡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𝑃𝑢𝑟𝑐h𝑎𝑠𝑒𝑠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2438400" y="3505200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𝐴𝑐𝑐𝑜𝑢𝑛𝑡𝑠 𝑃𝑎𝑦𝑎𝑏𝑙𝑒)/(𝐴𝑛𝑛𝑢𝑎𝑙 𝑁𝑒𝑡 𝐶𝑟𝑒𝑑𝑖𝑡 𝑃𝑢𝑟𝑐ℎ𝑎𝑠𝑒𝑠)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447675</xdr:colOff>
      <xdr:row>11</xdr:row>
      <xdr:rowOff>38100</xdr:rowOff>
    </xdr:from>
    <xdr:ext cx="17240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8372475" y="405765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𝐷𝑎𝑦𝑠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𝑖𝑛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𝑡h𝑒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𝑦𝑒𝑎𝑟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𝑃𝑎𝑦𝑎𝑏𝑙𝑒𝑠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8372475" y="405765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𝐷𝑎𝑦𝑠 𝑖𝑛 𝑡ℎ𝑒 𝑦𝑒𝑎𝑟)/(𝑃𝑎𝑦𝑎𝑏𝑙𝑒𝑠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209550</xdr:colOff>
      <xdr:row>11</xdr:row>
      <xdr:rowOff>57150</xdr:rowOff>
    </xdr:from>
    <xdr:ext cx="17621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10572750" y="4076700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365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𝑃𝑎𝑦𝑎𝑏𝑙𝑒𝑠</m:t>
                        </m:r>
                        <m:r>
                          <a:rPr lang="en-US" sz="1100" b="0" i="1">
                            <a:latin typeface="Cambria Math"/>
                          </a:rPr>
                          <m:t> 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10572750" y="4076700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0" i="0">
                  <a:latin typeface="Cambria Math"/>
                </a:rPr>
                <a:t>365/(𝑃𝑎𝑦𝑎𝑏𝑙𝑒𝑠 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23</xdr:row>
      <xdr:rowOff>85725</xdr:rowOff>
    </xdr:from>
    <xdr:ext cx="2076450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𝐶𝑜𝑠𝑡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𝑜𝑓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𝐺𝑜𝑜𝑑𝑠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𝑆𝑜𝑙𝑑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𝐼𝑛𝑣𝑒𝑛𝑡𝑜𝑟𝑦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𝐶𝑜𝑠𝑡 𝑜𝑓 𝐺𝑜𝑜𝑑𝑠 𝑆𝑜𝑙𝑑)/𝐼𝑛𝑣𝑒𝑛𝑡𝑜𝑟𝑦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34</xdr:row>
      <xdr:rowOff>85725</xdr:rowOff>
    </xdr:from>
    <xdr:ext cx="2076450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𝑁𝑒𝑡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𝑆𝑎𝑙𝑒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𝑇𝑜𝑡𝑎𝑙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𝐴𝑠𝑠𝑒𝑡𝑠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𝑁𝑒𝑡 𝑆𝑎𝑙𝑒)/(𝑇𝑜𝑡𝑎𝑙 𝐴𝑠𝑠𝑒𝑡𝑠)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2"/>
  <sheetViews>
    <sheetView workbookViewId="0">
      <selection activeCell="M9" sqref="M9"/>
    </sheetView>
  </sheetViews>
  <sheetFormatPr defaultRowHeight="15" x14ac:dyDescent="0.25"/>
  <sheetData>
    <row r="1" spans="3:6" ht="23.25" x14ac:dyDescent="0.35">
      <c r="D1" s="2" t="s">
        <v>1</v>
      </c>
      <c r="E1" s="2"/>
      <c r="F1" s="2"/>
    </row>
    <row r="2" spans="3:6" ht="23.25" x14ac:dyDescent="0.35">
      <c r="C2" s="2" t="s">
        <v>0</v>
      </c>
      <c r="D2" s="2"/>
      <c r="E2" s="2"/>
      <c r="F2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4"/>
  <sheetViews>
    <sheetView workbookViewId="0">
      <selection activeCell="P11" sqref="P11"/>
    </sheetView>
  </sheetViews>
  <sheetFormatPr defaultRowHeight="15" x14ac:dyDescent="0.25"/>
  <sheetData>
    <row r="2" spans="3:9" ht="23.25" x14ac:dyDescent="0.35">
      <c r="E2" s="2" t="s">
        <v>1</v>
      </c>
      <c r="F2" s="2"/>
      <c r="G2" s="2"/>
    </row>
    <row r="3" spans="3:9" ht="23.25" x14ac:dyDescent="0.35">
      <c r="D3" s="2" t="s">
        <v>4</v>
      </c>
      <c r="E3" s="2"/>
      <c r="F3" s="2"/>
      <c r="G3" s="2"/>
    </row>
    <row r="4" spans="3:9" ht="18.75" x14ac:dyDescent="0.3">
      <c r="C4" s="1" t="s">
        <v>3</v>
      </c>
      <c r="I4" s="1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abSelected="1" workbookViewId="0">
      <selection activeCell="F14" sqref="F14"/>
    </sheetView>
  </sheetViews>
  <sheetFormatPr defaultRowHeight="15" x14ac:dyDescent="0.25"/>
  <cols>
    <col min="4" max="4" width="17.140625" customWidth="1"/>
    <col min="5" max="5" width="16.28515625" customWidth="1"/>
    <col min="6" max="6" width="21.5703125" customWidth="1"/>
  </cols>
  <sheetData>
    <row r="1" spans="1:8" ht="15.75" x14ac:dyDescent="0.25">
      <c r="A1" s="3" t="s">
        <v>15</v>
      </c>
    </row>
    <row r="2" spans="1:8" x14ac:dyDescent="0.25">
      <c r="H2" t="s">
        <v>16</v>
      </c>
    </row>
    <row r="3" spans="1:8" x14ac:dyDescent="0.25">
      <c r="A3">
        <v>1</v>
      </c>
      <c r="B3" t="s">
        <v>5</v>
      </c>
    </row>
    <row r="8" spans="1:8" x14ac:dyDescent="0.25">
      <c r="D8" t="s">
        <v>17</v>
      </c>
      <c r="E8" t="s">
        <v>18</v>
      </c>
      <c r="F8" t="s">
        <v>19</v>
      </c>
    </row>
    <row r="9" spans="1:8" x14ac:dyDescent="0.25">
      <c r="C9">
        <v>2001</v>
      </c>
      <c r="D9" s="5">
        <v>206</v>
      </c>
      <c r="E9" s="5">
        <v>20</v>
      </c>
      <c r="F9" s="6">
        <f>D9/E9</f>
        <v>10.3</v>
      </c>
    </row>
    <row r="10" spans="1:8" x14ac:dyDescent="0.25">
      <c r="C10">
        <v>2002</v>
      </c>
      <c r="D10" s="5">
        <v>222</v>
      </c>
      <c r="E10" s="5">
        <v>51</v>
      </c>
      <c r="F10" s="6">
        <f t="shared" ref="F10:F11" si="0">D10/E10</f>
        <v>4.3529411764705879</v>
      </c>
    </row>
    <row r="11" spans="1:8" x14ac:dyDescent="0.25">
      <c r="C11">
        <v>2003</v>
      </c>
      <c r="D11" s="5">
        <v>210</v>
      </c>
      <c r="E11" s="5">
        <v>59</v>
      </c>
      <c r="F11" s="6">
        <f t="shared" si="0"/>
        <v>3.5593220338983049</v>
      </c>
    </row>
    <row r="14" spans="1:8" x14ac:dyDescent="0.25">
      <c r="F14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workbookViewId="0">
      <selection activeCell="H8" sqref="H8"/>
    </sheetView>
  </sheetViews>
  <sheetFormatPr defaultRowHeight="15" x14ac:dyDescent="0.25"/>
  <sheetData>
    <row r="1" spans="1:18" ht="15.75" x14ac:dyDescent="0.25">
      <c r="A1" s="3" t="s">
        <v>6</v>
      </c>
    </row>
    <row r="3" spans="1:18" x14ac:dyDescent="0.25">
      <c r="A3">
        <v>1</v>
      </c>
      <c r="C3" t="s">
        <v>7</v>
      </c>
      <c r="L3" t="s">
        <v>8</v>
      </c>
      <c r="R3" t="s">
        <v>10</v>
      </c>
    </row>
    <row r="4" spans="1:18" x14ac:dyDescent="0.25">
      <c r="L4" t="s">
        <v>9</v>
      </c>
    </row>
    <row r="11" spans="1:18" s="4" customFormat="1" x14ac:dyDescent="0.25"/>
    <row r="13" spans="1:18" x14ac:dyDescent="0.25">
      <c r="A13">
        <v>2</v>
      </c>
      <c r="C13" t="s">
        <v>11</v>
      </c>
      <c r="L13" t="s">
        <v>12</v>
      </c>
      <c r="R13" t="s">
        <v>10</v>
      </c>
    </row>
    <row r="20" spans="1:3" ht="13.5" customHeight="1" x14ac:dyDescent="0.25"/>
    <row r="22" spans="1:3" s="4" customFormat="1" x14ac:dyDescent="0.25"/>
    <row r="25" spans="1:3" x14ac:dyDescent="0.25">
      <c r="A25">
        <v>3</v>
      </c>
      <c r="C25" t="s">
        <v>13</v>
      </c>
    </row>
    <row r="33" spans="1:3" s="4" customFormat="1" x14ac:dyDescent="0.25"/>
    <row r="35" spans="1:3" x14ac:dyDescent="0.25">
      <c r="A35">
        <v>4</v>
      </c>
    </row>
    <row r="36" spans="1:3" x14ac:dyDescent="0.25">
      <c r="C36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BW Income Statement</vt:lpstr>
      <vt:lpstr>BW Balance sheet</vt:lpstr>
      <vt:lpstr>Coverage Ratio</vt:lpstr>
      <vt:lpstr>Activity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lh8 academic</cp:lastModifiedBy>
  <dcterms:created xsi:type="dcterms:W3CDTF">2020-07-05T15:53:19Z</dcterms:created>
  <dcterms:modified xsi:type="dcterms:W3CDTF">2025-04-28T09:49:22Z</dcterms:modified>
</cp:coreProperties>
</file>