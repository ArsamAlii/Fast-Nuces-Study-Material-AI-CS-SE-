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E:\"/>
    </mc:Choice>
  </mc:AlternateContent>
  <xr:revisionPtr revIDLastSave="0" documentId="13_ncr:1_{FDA28BDA-8AF9-4B49-9114-7F9C9DB045D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Preparing Financial Statement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90" i="1" l="1"/>
  <c r="AB89" i="1"/>
  <c r="AB88" i="1"/>
  <c r="AB87" i="1"/>
  <c r="AB86" i="1"/>
  <c r="R80" i="1"/>
  <c r="R78" i="1"/>
  <c r="Q78" i="1"/>
  <c r="Q77" i="1"/>
  <c r="R75" i="1"/>
  <c r="N80" i="1"/>
  <c r="N78" i="1"/>
  <c r="M78" i="1"/>
  <c r="M77" i="1"/>
  <c r="N75" i="1"/>
  <c r="Q57" i="1"/>
  <c r="Q56" i="1"/>
  <c r="Q55" i="1"/>
  <c r="Q54" i="1"/>
  <c r="Q53" i="1"/>
  <c r="R43" i="1"/>
  <c r="R42" i="1"/>
  <c r="R41" i="1"/>
  <c r="R40" i="1"/>
  <c r="R32" i="1"/>
  <c r="P105" i="1"/>
  <c r="P95" i="1"/>
  <c r="P92" i="1"/>
  <c r="P97" i="1" l="1"/>
  <c r="F33" i="1" l="1"/>
  <c r="E33" i="1"/>
  <c r="O108" i="1" l="1"/>
  <c r="P108" i="1" s="1"/>
  <c r="P110" i="1" s="1"/>
</calcChain>
</file>

<file path=xl/sharedStrings.xml><?xml version="1.0" encoding="utf-8"?>
<sst xmlns="http://schemas.openxmlformats.org/spreadsheetml/2006/main" count="166" uniqueCount="108">
  <si>
    <t xml:space="preserve">Accounting Cycle </t>
  </si>
  <si>
    <t>Step: 5 Preparing an Adjusted Trial Balance</t>
  </si>
  <si>
    <t xml:space="preserve">Marketing Consulting Serive INC. </t>
  </si>
  <si>
    <t xml:space="preserve">Adjusted Trial Balance </t>
  </si>
  <si>
    <t>Account Name</t>
  </si>
  <si>
    <t xml:space="preserve">Debit </t>
  </si>
  <si>
    <t>Credit</t>
  </si>
  <si>
    <t>Cash</t>
  </si>
  <si>
    <t>Consulting Fees receivable</t>
  </si>
  <si>
    <t>Prepaid office rent</t>
  </si>
  <si>
    <t>Prepaid dues and subscription</t>
  </si>
  <si>
    <t>Supplies</t>
  </si>
  <si>
    <t>Equipment</t>
  </si>
  <si>
    <t>Notes payable</t>
  </si>
  <si>
    <t>Income tax payable</t>
  </si>
  <si>
    <t>Unearned Consulting fee</t>
  </si>
  <si>
    <t>Salaries payable</t>
  </si>
  <si>
    <t>Interest payable</t>
  </si>
  <si>
    <t>Capital stock</t>
  </si>
  <si>
    <t>Retained Earnings</t>
  </si>
  <si>
    <t>Dividends</t>
  </si>
  <si>
    <t>Consulting Fees earned</t>
  </si>
  <si>
    <t>Salaries Expense</t>
  </si>
  <si>
    <t>Telephone Expense</t>
  </si>
  <si>
    <t>Rent Expense</t>
  </si>
  <si>
    <t>Interest Expense</t>
  </si>
  <si>
    <t>Income tax Expense</t>
  </si>
  <si>
    <t>Dues and Subscription expense</t>
  </si>
  <si>
    <t>Supplies expense</t>
  </si>
  <si>
    <t>Depreciation expense- Equip</t>
  </si>
  <si>
    <t>Miscellaneous expense</t>
  </si>
  <si>
    <t>Totals</t>
  </si>
  <si>
    <t>Accumulated Depreciation- Equipment</t>
  </si>
  <si>
    <t>Current Assets</t>
  </si>
  <si>
    <t>Fixed Assets</t>
  </si>
  <si>
    <t>Liability and Owners Equity</t>
  </si>
  <si>
    <t>Balance Sheet</t>
  </si>
  <si>
    <t>Income Statemnt</t>
  </si>
  <si>
    <t xml:space="preserve"> or Profit and Loss statement</t>
  </si>
  <si>
    <t>Retained Earnings Statement</t>
  </si>
  <si>
    <t>Balance Sheet or Statement of Financial Position Items</t>
  </si>
  <si>
    <t>items belonging to different statements</t>
  </si>
  <si>
    <t xml:space="preserve">Accounting Cycle  </t>
  </si>
  <si>
    <t>Step: 6 Preparation of Financial statements</t>
  </si>
  <si>
    <t>For the period ending December 31, 2015</t>
  </si>
  <si>
    <t>Revenue:</t>
  </si>
  <si>
    <t xml:space="preserve">Less Expenses: </t>
  </si>
  <si>
    <t xml:space="preserve">Formula: </t>
  </si>
  <si>
    <t>Net Income (Net loss) = Revenue - Expenses</t>
  </si>
  <si>
    <r>
      <t>Inocme statement:</t>
    </r>
    <r>
      <rPr>
        <sz val="14"/>
        <color theme="1"/>
        <rFont val="Calibri"/>
        <family val="2"/>
        <scheme val="minor"/>
      </rPr>
      <t xml:space="preserve"> A statement that show the operating performance of a business. </t>
    </r>
  </si>
  <si>
    <t>Amount</t>
  </si>
  <si>
    <r>
      <rPr>
        <b/>
        <sz val="11"/>
        <color theme="1"/>
        <rFont val="Calibri"/>
        <family val="2"/>
        <scheme val="minor"/>
      </rPr>
      <t>Retained Earning Statement:</t>
    </r>
    <r>
      <rPr>
        <sz val="11"/>
        <color theme="1"/>
        <rFont val="Calibri"/>
        <family val="2"/>
        <scheme val="minor"/>
      </rPr>
      <t xml:space="preserve"> A Statement that shows changes in retained earnings over a period of time. </t>
    </r>
  </si>
  <si>
    <t xml:space="preserve">Retained earnings are the portion of corporate income which is retained (reserve) in the business. </t>
  </si>
  <si>
    <t xml:space="preserve">Retained earnings increase the stockholders equity in a business. </t>
  </si>
  <si>
    <r>
      <rPr>
        <b/>
        <sz val="11"/>
        <color theme="1"/>
        <rFont val="Calibri"/>
        <family val="2"/>
        <scheme val="minor"/>
      </rPr>
      <t>Balance sheet:</t>
    </r>
    <r>
      <rPr>
        <sz val="11"/>
        <color theme="1"/>
        <rFont val="Calibri"/>
        <family val="2"/>
        <scheme val="minor"/>
      </rPr>
      <t xml:space="preserve"> A statement that shows the financial position of a business on a particular date (specific date). It list</t>
    </r>
  </si>
  <si>
    <t xml:space="preserve">the assets, liabilities and owners equity of a business. </t>
  </si>
  <si>
    <t>Assets =</t>
  </si>
  <si>
    <t>Liabilites + Owners Equity (or Stockholders equity in case of corporation)</t>
  </si>
  <si>
    <t>Assets</t>
  </si>
  <si>
    <t>Amount in Dollars</t>
  </si>
  <si>
    <t>Liabiliteis and Owners Equity</t>
  </si>
  <si>
    <t xml:space="preserve">4. Owners Equity Statement: </t>
  </si>
  <si>
    <t xml:space="preserve">owners equity statement shows or record the changes in the owners equity position over a period of time normally an accounting period. </t>
  </si>
  <si>
    <t>Ending owners equity = Beginning owners equity + net Income (- Net loss) - Drawings</t>
  </si>
  <si>
    <t xml:space="preserve">suppose owners drawing </t>
  </si>
  <si>
    <t>beginning owners equity</t>
  </si>
  <si>
    <t>Net income</t>
  </si>
  <si>
    <t xml:space="preserve">Marketing Consulting Service INC. </t>
  </si>
  <si>
    <t>subtotal</t>
  </si>
  <si>
    <t>Less: Income tax expense</t>
  </si>
  <si>
    <t>Net Income</t>
  </si>
  <si>
    <t>Beginning Retained Earning</t>
  </si>
  <si>
    <t>Add: Net Income</t>
  </si>
  <si>
    <t>Subtotal</t>
  </si>
  <si>
    <t>Less: Dividend</t>
  </si>
  <si>
    <t>Ending Retained Earning</t>
  </si>
  <si>
    <t>Total Current Assets</t>
  </si>
  <si>
    <t>Less: Accumulated Depr. Equip</t>
  </si>
  <si>
    <t xml:space="preserve">Fixed Assets: </t>
  </si>
  <si>
    <t xml:space="preserve">Total </t>
  </si>
  <si>
    <t>Liability</t>
  </si>
  <si>
    <t>Total liability</t>
  </si>
  <si>
    <t>Stockholders Equity:</t>
  </si>
  <si>
    <t>Add: Retained Earnings</t>
  </si>
  <si>
    <t>Owner Equity Statement</t>
  </si>
  <si>
    <t>Beginning Owners Equity</t>
  </si>
  <si>
    <t>Amounts in dollars</t>
  </si>
  <si>
    <t>Add: Net income for the period</t>
  </si>
  <si>
    <t>Less: Owners Drawings</t>
  </si>
  <si>
    <t>Ending Owners Equity</t>
  </si>
  <si>
    <r>
      <t xml:space="preserve">Formula: </t>
    </r>
    <r>
      <rPr>
        <sz val="11"/>
        <color theme="1"/>
        <rFont val="Calibri"/>
        <family val="2"/>
        <scheme val="minor"/>
      </rPr>
      <t xml:space="preserve"> Ending</t>
    </r>
    <r>
      <rPr>
        <b/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Retained Earning = Beginning Retained Earning  + Net Income (- Net Loss) -Dividend</t>
    </r>
  </si>
  <si>
    <t>The ending retained Earning figure is transferred and added to Stockholders' equity section of balance sheet</t>
  </si>
  <si>
    <t>Balance Sheet Formats: There are two formats of Balance sheet</t>
  </si>
  <si>
    <t>2. Report Format: (Top to Bottom)</t>
  </si>
  <si>
    <t>1. Accounting Format of Balance sheet: (Left to right)</t>
  </si>
  <si>
    <t>On left side all the business assets are listed and on right side liabilities</t>
  </si>
  <si>
    <t xml:space="preserve">and owners equity is listed and used by the accountants for internal purpose. </t>
  </si>
  <si>
    <t>At top the assets are listed then liabilities and then owners' equity</t>
  </si>
  <si>
    <t xml:space="preserve">at the end of the statement. </t>
  </si>
  <si>
    <t xml:space="preserve">Such type of statement is used for reporting purpose and used by external stakeholders. </t>
  </si>
  <si>
    <t xml:space="preserve">Liabiliteis </t>
  </si>
  <si>
    <t>At December 31, 2015</t>
  </si>
  <si>
    <t xml:space="preserve"> At December 31, 2015</t>
  </si>
  <si>
    <t>Income is transferred to Retained earnings statement</t>
  </si>
  <si>
    <t>Income statement</t>
  </si>
  <si>
    <t>Retained Earning Statement</t>
  </si>
  <si>
    <t xml:space="preserve">In case of soleproprietorship or small businesses instead of Retained earnings the owners equity statement is prepared. </t>
  </si>
  <si>
    <t>Smart mobiles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</si>
</sst>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[$-409]mmmm\ d\,\ yyyy;@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u val="singleAccounting"/>
      <sz val="14"/>
      <color theme="1"/>
      <name val="Calibri"/>
      <family val="2"/>
      <scheme val="minor"/>
    </font>
    <font>
      <u val="doubleAccounting"/>
      <sz val="14"/>
      <color theme="1"/>
      <name val="Calibri"/>
      <family val="2"/>
      <scheme val="minor"/>
    </font>
    <font>
      <b/>
      <u val="doubleAccounting"/>
      <sz val="11"/>
      <color theme="1"/>
      <name val="Calibri"/>
      <family val="2"/>
      <scheme val="minor"/>
    </font>
    <font>
      <u val="doubleAccounting"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 val="double"/>
      <sz val="11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64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164" fontId="4" fillId="0" borderId="0" xfId="0" applyNumberFormat="1" applyFont="1"/>
    <xf numFmtId="0" fontId="4" fillId="0" borderId="1" xfId="0" applyFont="1" applyBorder="1"/>
    <xf numFmtId="44" fontId="4" fillId="0" borderId="1" xfId="0" applyNumberFormat="1" applyFont="1" applyBorder="1"/>
    <xf numFmtId="0" fontId="5" fillId="2" borderId="0" xfId="0" applyFont="1" applyFill="1"/>
    <xf numFmtId="0" fontId="6" fillId="2" borderId="0" xfId="0" applyFont="1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7" borderId="0" xfId="0" applyFill="1"/>
    <xf numFmtId="0" fontId="0" fillId="8" borderId="0" xfId="0" applyFill="1"/>
    <xf numFmtId="0" fontId="7" fillId="0" borderId="0" xfId="0" applyFont="1"/>
    <xf numFmtId="0" fontId="4" fillId="6" borderId="0" xfId="0" applyFont="1" applyFill="1"/>
    <xf numFmtId="0" fontId="3" fillId="0" borderId="1" xfId="0" applyFont="1" applyBorder="1" applyAlignment="1">
      <alignment horizontal="left"/>
    </xf>
    <xf numFmtId="44" fontId="3" fillId="0" borderId="1" xfId="0" applyNumberFormat="1" applyFont="1" applyBorder="1"/>
    <xf numFmtId="0" fontId="1" fillId="6" borderId="0" xfId="0" applyFont="1" applyFill="1"/>
    <xf numFmtId="0" fontId="1" fillId="0" borderId="0" xfId="0" applyFont="1"/>
    <xf numFmtId="44" fontId="0" fillId="0" borderId="0" xfId="1" applyFont="1"/>
    <xf numFmtId="0" fontId="4" fillId="0" borderId="0" xfId="0" applyFont="1" applyAlignment="1">
      <alignment horizontal="center"/>
    </xf>
    <xf numFmtId="0" fontId="9" fillId="0" borderId="1" xfId="0" applyFont="1" applyBorder="1"/>
    <xf numFmtId="0" fontId="7" fillId="0" borderId="1" xfId="0" applyFont="1" applyBorder="1"/>
    <xf numFmtId="0" fontId="0" fillId="0" borderId="1" xfId="0" applyBorder="1"/>
    <xf numFmtId="0" fontId="2" fillId="0" borderId="1" xfId="0" applyFont="1" applyBorder="1"/>
    <xf numFmtId="44" fontId="0" fillId="0" borderId="1" xfId="0" applyNumberFormat="1" applyBorder="1"/>
    <xf numFmtId="44" fontId="10" fillId="0" borderId="1" xfId="0" applyNumberFormat="1" applyFont="1" applyBorder="1"/>
    <xf numFmtId="0" fontId="3" fillId="0" borderId="1" xfId="0" applyFont="1" applyBorder="1"/>
    <xf numFmtId="164" fontId="4" fillId="0" borderId="1" xfId="0" applyNumberFormat="1" applyFont="1" applyBorder="1"/>
    <xf numFmtId="0" fontId="0" fillId="0" borderId="1" xfId="0" applyBorder="1" applyAlignment="1">
      <alignment horizontal="center"/>
    </xf>
    <xf numFmtId="164" fontId="4" fillId="0" borderId="0" xfId="0" applyNumberFormat="1" applyFont="1" applyAlignment="1">
      <alignment horizontal="center"/>
    </xf>
    <xf numFmtId="44" fontId="12" fillId="0" borderId="1" xfId="0" applyNumberFormat="1" applyFont="1" applyBorder="1"/>
    <xf numFmtId="44" fontId="11" fillId="9" borderId="1" xfId="0" applyNumberFormat="1" applyFont="1" applyFill="1" applyBorder="1"/>
    <xf numFmtId="44" fontId="11" fillId="10" borderId="1" xfId="0" applyNumberFormat="1" applyFont="1" applyFill="1" applyBorder="1"/>
    <xf numFmtId="44" fontId="3" fillId="10" borderId="1" xfId="0" applyNumberFormat="1" applyFont="1" applyFill="1" applyBorder="1"/>
    <xf numFmtId="0" fontId="2" fillId="10" borderId="0" xfId="0" applyFont="1" applyFill="1"/>
    <xf numFmtId="0" fontId="0" fillId="10" borderId="0" xfId="0" applyFill="1"/>
    <xf numFmtId="44" fontId="7" fillId="0" borderId="1" xfId="0" applyNumberFormat="1" applyFont="1" applyBorder="1"/>
    <xf numFmtId="0" fontId="7" fillId="0" borderId="1" xfId="0" applyFont="1" applyBorder="1" applyAlignment="1">
      <alignment horizontal="left"/>
    </xf>
    <xf numFmtId="44" fontId="7" fillId="0" borderId="1" xfId="1" applyFont="1" applyBorder="1"/>
    <xf numFmtId="0" fontId="14" fillId="0" borderId="1" xfId="0" applyFont="1" applyBorder="1"/>
    <xf numFmtId="44" fontId="13" fillId="10" borderId="1" xfId="0" applyNumberFormat="1" applyFont="1" applyFill="1" applyBorder="1"/>
    <xf numFmtId="0" fontId="14" fillId="0" borderId="1" xfId="0" applyFont="1" applyBorder="1" applyAlignment="1">
      <alignment horizontal="left"/>
    </xf>
    <xf numFmtId="0" fontId="14" fillId="0" borderId="2" xfId="0" applyFont="1" applyBorder="1" applyAlignment="1">
      <alignment horizontal="center"/>
    </xf>
    <xf numFmtId="0" fontId="14" fillId="0" borderId="3" xfId="0" applyFont="1" applyBorder="1" applyAlignment="1">
      <alignment horizontal="center"/>
    </xf>
    <xf numFmtId="0" fontId="7" fillId="0" borderId="2" xfId="0" applyFont="1" applyBorder="1" applyAlignment="1">
      <alignment horizontal="left"/>
    </xf>
    <xf numFmtId="0" fontId="7" fillId="0" borderId="3" xfId="0" applyFont="1" applyBorder="1" applyAlignment="1">
      <alignment horizontal="left"/>
    </xf>
    <xf numFmtId="0" fontId="5" fillId="10" borderId="0" xfId="0" applyFont="1" applyFill="1"/>
    <xf numFmtId="0" fontId="6" fillId="10" borderId="0" xfId="0" applyFont="1" applyFill="1"/>
    <xf numFmtId="0" fontId="8" fillId="10" borderId="0" xfId="0" applyFont="1" applyFill="1"/>
    <xf numFmtId="0" fontId="4" fillId="0" borderId="0" xfId="0" applyFont="1" applyAlignment="1">
      <alignment horizontal="center"/>
    </xf>
    <xf numFmtId="164" fontId="4" fillId="0" borderId="0" xfId="0" applyNumberFormat="1" applyFont="1" applyAlignment="1">
      <alignment horizontal="center"/>
    </xf>
    <xf numFmtId="0" fontId="4" fillId="0" borderId="2" xfId="0" applyFont="1" applyBorder="1" applyAlignment="1">
      <alignment horizontal="left"/>
    </xf>
    <xf numFmtId="0" fontId="4" fillId="0" borderId="3" xfId="0" applyFont="1" applyBorder="1" applyAlignment="1">
      <alignment horizontal="left"/>
    </xf>
    <xf numFmtId="0" fontId="4" fillId="0" borderId="4" xfId="0" applyFont="1" applyBorder="1" applyAlignment="1">
      <alignment horizontal="left"/>
    </xf>
    <xf numFmtId="0" fontId="4" fillId="0" borderId="2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3" fillId="0" borderId="2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3" fillId="0" borderId="4" xfId="0" applyFont="1" applyBorder="1" applyAlignment="1">
      <alignment horizontal="left"/>
    </xf>
    <xf numFmtId="0" fontId="15" fillId="0" borderId="0" xfId="0" applyFont="1"/>
    <xf numFmtId="44" fontId="14" fillId="0" borderId="1" xfId="0" applyNumberFormat="1" applyFont="1" applyBorder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266700</xdr:colOff>
      <xdr:row>7</xdr:row>
      <xdr:rowOff>57150</xdr:rowOff>
    </xdr:from>
    <xdr:to>
      <xdr:col>9</xdr:col>
      <xdr:colOff>76200</xdr:colOff>
      <xdr:row>19</xdr:row>
      <xdr:rowOff>123825</xdr:rowOff>
    </xdr:to>
    <xdr:sp macro="" textlink="">
      <xdr:nvSpPr>
        <xdr:cNvPr id="4" name="Right Brace 3">
          <a:extLst>
            <a:ext uri="{FF2B5EF4-FFF2-40B4-BE49-F238E27FC236}">
              <a16:creationId xmlns:a16="http://schemas.microsoft.com/office/drawing/2014/main" id="{AF1FDD70-D6F7-53BC-1616-00A8D7F734D1}"/>
            </a:ext>
          </a:extLst>
        </xdr:cNvPr>
        <xdr:cNvSpPr/>
      </xdr:nvSpPr>
      <xdr:spPr>
        <a:xfrm>
          <a:off x="7781925" y="1733550"/>
          <a:ext cx="419100" cy="2924175"/>
        </a:xfrm>
        <a:prstGeom prst="rightBrac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1012030</xdr:colOff>
      <xdr:row>64</xdr:row>
      <xdr:rowOff>202406</xdr:rowOff>
    </xdr:from>
    <xdr:to>
      <xdr:col>12</xdr:col>
      <xdr:colOff>702468</xdr:colOff>
      <xdr:row>65</xdr:row>
      <xdr:rowOff>214313</xdr:rowOff>
    </xdr:to>
    <xdr:cxnSp macro="">
      <xdr:nvCxnSpPr>
        <xdr:cNvPr id="14" name="Straight Arrow Connector 13">
          <a:extLst>
            <a:ext uri="{FF2B5EF4-FFF2-40B4-BE49-F238E27FC236}">
              <a16:creationId xmlns:a16="http://schemas.microsoft.com/office/drawing/2014/main" id="{620673EF-7285-BB61-3642-F4D7BB805857}"/>
            </a:ext>
          </a:extLst>
        </xdr:cNvPr>
        <xdr:cNvCxnSpPr/>
      </xdr:nvCxnSpPr>
      <xdr:spPr>
        <a:xfrm>
          <a:off x="6131718" y="15120937"/>
          <a:ext cx="4500563" cy="250032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154781</xdr:colOff>
      <xdr:row>70</xdr:row>
      <xdr:rowOff>47625</xdr:rowOff>
    </xdr:from>
    <xdr:to>
      <xdr:col>10</xdr:col>
      <xdr:colOff>464344</xdr:colOff>
      <xdr:row>85</xdr:row>
      <xdr:rowOff>83344</xdr:rowOff>
    </xdr:to>
    <xdr:cxnSp macro="">
      <xdr:nvCxnSpPr>
        <xdr:cNvPr id="15" name="Straight Arrow Connector 14">
          <a:extLst>
            <a:ext uri="{FF2B5EF4-FFF2-40B4-BE49-F238E27FC236}">
              <a16:creationId xmlns:a16="http://schemas.microsoft.com/office/drawing/2014/main" id="{0263BA4A-4D8C-42EA-A638-19EF30DB1121}"/>
            </a:ext>
          </a:extLst>
        </xdr:cNvPr>
        <xdr:cNvCxnSpPr/>
      </xdr:nvCxnSpPr>
      <xdr:spPr>
        <a:xfrm>
          <a:off x="4060031" y="16287750"/>
          <a:ext cx="5119688" cy="3178969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59531</xdr:colOff>
      <xdr:row>42</xdr:row>
      <xdr:rowOff>202406</xdr:rowOff>
    </xdr:from>
    <xdr:to>
      <xdr:col>17</xdr:col>
      <xdr:colOff>1000125</xdr:colOff>
      <xdr:row>53</xdr:row>
      <xdr:rowOff>154781</xdr:rowOff>
    </xdr:to>
    <xdr:cxnSp macro="">
      <xdr:nvCxnSpPr>
        <xdr:cNvPr id="20" name="Straight Arrow Connector 19">
          <a:extLst>
            <a:ext uri="{FF2B5EF4-FFF2-40B4-BE49-F238E27FC236}">
              <a16:creationId xmlns:a16="http://schemas.microsoft.com/office/drawing/2014/main" id="{4CFB9CBB-DCCB-9912-3833-20A3C29119D9}"/>
            </a:ext>
          </a:extLst>
        </xdr:cNvPr>
        <xdr:cNvCxnSpPr/>
      </xdr:nvCxnSpPr>
      <xdr:spPr>
        <a:xfrm flipH="1">
          <a:off x="17049750" y="10310812"/>
          <a:ext cx="940594" cy="2405063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1071561</xdr:colOff>
      <xdr:row>56</xdr:row>
      <xdr:rowOff>238125</xdr:rowOff>
    </xdr:from>
    <xdr:to>
      <xdr:col>16</xdr:col>
      <xdr:colOff>1071562</xdr:colOff>
      <xdr:row>77</xdr:row>
      <xdr:rowOff>59531</xdr:rowOff>
    </xdr:to>
    <xdr:cxnSp macro="">
      <xdr:nvCxnSpPr>
        <xdr:cNvPr id="21" name="Straight Arrow Connector 20">
          <a:extLst>
            <a:ext uri="{FF2B5EF4-FFF2-40B4-BE49-F238E27FC236}">
              <a16:creationId xmlns:a16="http://schemas.microsoft.com/office/drawing/2014/main" id="{CCD43672-334F-4C0D-B799-66D5CD24E90F}"/>
            </a:ext>
          </a:extLst>
        </xdr:cNvPr>
        <xdr:cNvCxnSpPr/>
      </xdr:nvCxnSpPr>
      <xdr:spPr>
        <a:xfrm>
          <a:off x="15906749" y="13513594"/>
          <a:ext cx="1" cy="4202906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110"/>
  <sheetViews>
    <sheetView tabSelected="1" topLeftCell="I28" zoomScale="160" zoomScaleNormal="160" workbookViewId="0">
      <selection activeCell="F20" sqref="F20"/>
    </sheetView>
  </sheetViews>
  <sheetFormatPr defaultRowHeight="15" x14ac:dyDescent="0.25"/>
  <cols>
    <col min="4" max="4" width="31.28515625" bestFit="1" customWidth="1"/>
    <col min="5" max="5" width="18.28515625" customWidth="1"/>
    <col min="6" max="6" width="17.42578125" customWidth="1"/>
    <col min="13" max="13" width="15.5703125" customWidth="1"/>
    <col min="14" max="14" width="18.5703125" customWidth="1"/>
    <col min="15" max="15" width="16.7109375" customWidth="1"/>
    <col min="16" max="16" width="31.28515625" customWidth="1"/>
    <col min="17" max="17" width="16.7109375" customWidth="1"/>
    <col min="18" max="18" width="17.28515625" customWidth="1"/>
    <col min="19" max="19" width="17.85546875" customWidth="1"/>
    <col min="20" max="20" width="17.5703125" bestFit="1" customWidth="1"/>
    <col min="28" max="28" width="20.140625" bestFit="1" customWidth="1"/>
    <col min="33" max="33" width="13.42578125" bestFit="1" customWidth="1"/>
  </cols>
  <sheetData>
    <row r="1" spans="1:10" ht="21" x14ac:dyDescent="0.35">
      <c r="A1" s="7" t="s">
        <v>0</v>
      </c>
      <c r="B1" s="7"/>
      <c r="C1" s="8"/>
      <c r="D1" s="8"/>
      <c r="E1" s="8"/>
    </row>
    <row r="2" spans="1:10" ht="21" x14ac:dyDescent="0.35">
      <c r="A2" s="7" t="s">
        <v>1</v>
      </c>
      <c r="B2" s="7"/>
      <c r="C2" s="7"/>
      <c r="D2" s="7"/>
      <c r="E2" s="8"/>
    </row>
    <row r="4" spans="1:10" ht="18.75" x14ac:dyDescent="0.3">
      <c r="B4" s="2"/>
      <c r="C4" s="2"/>
      <c r="D4" s="3" t="s">
        <v>67</v>
      </c>
      <c r="E4" s="3"/>
      <c r="F4" s="3"/>
    </row>
    <row r="5" spans="1:10" ht="18.75" x14ac:dyDescent="0.3">
      <c r="B5" s="2"/>
      <c r="C5" s="2"/>
      <c r="D5" s="3" t="s">
        <v>3</v>
      </c>
      <c r="E5" s="2"/>
      <c r="F5" s="3"/>
    </row>
    <row r="6" spans="1:10" ht="18.75" x14ac:dyDescent="0.3">
      <c r="B6" s="2"/>
      <c r="C6" s="2"/>
      <c r="D6" s="4">
        <v>42369</v>
      </c>
      <c r="E6" s="2"/>
      <c r="F6" s="3"/>
      <c r="H6" t="s">
        <v>41</v>
      </c>
    </row>
    <row r="7" spans="1:10" ht="18.75" x14ac:dyDescent="0.3">
      <c r="B7" s="56" t="s">
        <v>4</v>
      </c>
      <c r="C7" s="57"/>
      <c r="D7" s="58"/>
      <c r="E7" s="5" t="s">
        <v>5</v>
      </c>
      <c r="F7" s="5" t="s">
        <v>6</v>
      </c>
    </row>
    <row r="8" spans="1:10" ht="18.75" x14ac:dyDescent="0.3">
      <c r="B8" s="59" t="s">
        <v>7</v>
      </c>
      <c r="C8" s="60"/>
      <c r="D8" s="61"/>
      <c r="E8" s="17">
        <v>24550</v>
      </c>
      <c r="F8" s="17"/>
      <c r="G8" s="9" t="s">
        <v>33</v>
      </c>
      <c r="H8" s="9"/>
      <c r="I8" s="9"/>
    </row>
    <row r="9" spans="1:10" ht="18.75" x14ac:dyDescent="0.3">
      <c r="B9" s="16" t="s">
        <v>8</v>
      </c>
      <c r="C9" s="16"/>
      <c r="D9" s="16"/>
      <c r="E9" s="17">
        <v>17200</v>
      </c>
      <c r="F9" s="17"/>
      <c r="G9" s="9"/>
      <c r="H9" s="9"/>
      <c r="I9" s="9"/>
    </row>
    <row r="10" spans="1:10" ht="18.75" x14ac:dyDescent="0.3">
      <c r="B10" s="16" t="s">
        <v>9</v>
      </c>
      <c r="C10" s="16"/>
      <c r="D10" s="16"/>
      <c r="E10" s="17">
        <v>2100</v>
      </c>
      <c r="F10" s="17"/>
      <c r="G10" s="9"/>
      <c r="H10" s="9"/>
      <c r="I10" s="9"/>
    </row>
    <row r="11" spans="1:10" ht="18.75" x14ac:dyDescent="0.3">
      <c r="B11" s="16" t="s">
        <v>10</v>
      </c>
      <c r="C11" s="16"/>
      <c r="D11" s="16"/>
      <c r="E11" s="17">
        <v>100</v>
      </c>
      <c r="F11" s="17"/>
      <c r="G11" s="9"/>
      <c r="H11" s="9"/>
      <c r="I11" s="9"/>
    </row>
    <row r="12" spans="1:10" ht="18.75" x14ac:dyDescent="0.3">
      <c r="B12" s="59" t="s">
        <v>11</v>
      </c>
      <c r="C12" s="60"/>
      <c r="D12" s="61"/>
      <c r="E12" s="17">
        <v>225</v>
      </c>
      <c r="F12" s="17"/>
      <c r="G12" s="9"/>
      <c r="H12" s="9"/>
      <c r="I12" s="9"/>
    </row>
    <row r="13" spans="1:10" ht="18.75" x14ac:dyDescent="0.3">
      <c r="B13" s="59" t="s">
        <v>12</v>
      </c>
      <c r="C13" s="60"/>
      <c r="D13" s="61"/>
      <c r="E13" s="17">
        <v>18000</v>
      </c>
      <c r="F13" s="17"/>
      <c r="G13" s="10" t="s">
        <v>34</v>
      </c>
      <c r="H13" s="10"/>
      <c r="I13" s="10"/>
    </row>
    <row r="14" spans="1:10" ht="18.75" x14ac:dyDescent="0.3">
      <c r="B14" s="16" t="s">
        <v>32</v>
      </c>
      <c r="C14" s="16"/>
      <c r="D14" s="16"/>
      <c r="E14" s="17"/>
      <c r="F14" s="17">
        <v>5400</v>
      </c>
      <c r="G14" s="10"/>
      <c r="H14" s="10"/>
      <c r="I14" s="10"/>
      <c r="J14" t="s">
        <v>40</v>
      </c>
    </row>
    <row r="15" spans="1:10" ht="18.75" x14ac:dyDescent="0.3">
      <c r="B15" s="59" t="s">
        <v>13</v>
      </c>
      <c r="C15" s="60"/>
      <c r="D15" s="61"/>
      <c r="E15" s="17"/>
      <c r="F15" s="17">
        <v>2500</v>
      </c>
      <c r="G15" s="11"/>
      <c r="H15" s="11"/>
      <c r="I15" s="11"/>
    </row>
    <row r="16" spans="1:10" ht="18.75" x14ac:dyDescent="0.3">
      <c r="B16" s="16" t="s">
        <v>14</v>
      </c>
      <c r="C16" s="16"/>
      <c r="D16" s="16"/>
      <c r="E16" s="17"/>
      <c r="F16" s="17">
        <v>8500</v>
      </c>
      <c r="G16" s="11" t="s">
        <v>35</v>
      </c>
      <c r="H16" s="11"/>
      <c r="I16" s="11"/>
    </row>
    <row r="17" spans="2:21" ht="18.75" x14ac:dyDescent="0.3">
      <c r="B17" s="16" t="s">
        <v>15</v>
      </c>
      <c r="C17" s="16"/>
      <c r="D17" s="16"/>
      <c r="E17" s="17"/>
      <c r="F17" s="17">
        <v>1550</v>
      </c>
      <c r="G17" s="11"/>
      <c r="H17" s="11"/>
      <c r="I17" s="11"/>
    </row>
    <row r="18" spans="2:21" ht="18.75" x14ac:dyDescent="0.3">
      <c r="B18" s="59" t="s">
        <v>16</v>
      </c>
      <c r="C18" s="60"/>
      <c r="D18" s="61"/>
      <c r="E18" s="17"/>
      <c r="F18" s="17">
        <v>850</v>
      </c>
      <c r="G18" s="11"/>
      <c r="H18" s="11"/>
      <c r="I18" s="11"/>
      <c r="M18" s="37"/>
      <c r="N18" s="37"/>
      <c r="O18" s="37"/>
      <c r="P18" s="37"/>
      <c r="Q18" s="37"/>
    </row>
    <row r="19" spans="2:21" ht="21" x14ac:dyDescent="0.35">
      <c r="B19" s="16" t="s">
        <v>17</v>
      </c>
      <c r="C19" s="16"/>
      <c r="D19" s="16"/>
      <c r="E19" s="17"/>
      <c r="F19" s="17">
        <v>50</v>
      </c>
      <c r="G19" s="11"/>
      <c r="H19" s="11"/>
      <c r="I19" s="11"/>
      <c r="M19" s="48" t="s">
        <v>42</v>
      </c>
      <c r="N19" s="49"/>
      <c r="O19" s="49"/>
      <c r="P19" s="37"/>
      <c r="Q19" s="37"/>
    </row>
    <row r="20" spans="2:21" ht="23.25" x14ac:dyDescent="0.35">
      <c r="B20" s="59" t="s">
        <v>18</v>
      </c>
      <c r="C20" s="60"/>
      <c r="D20" s="61"/>
      <c r="E20" s="17"/>
      <c r="F20" s="17">
        <v>15000</v>
      </c>
      <c r="G20" s="11"/>
      <c r="H20" s="11"/>
      <c r="I20" s="11"/>
      <c r="M20" s="37"/>
      <c r="N20" s="50" t="s">
        <v>43</v>
      </c>
      <c r="O20" s="50"/>
      <c r="P20" s="50"/>
      <c r="Q20" s="37"/>
    </row>
    <row r="21" spans="2:21" ht="18.75" x14ac:dyDescent="0.3">
      <c r="B21" s="16" t="s">
        <v>19</v>
      </c>
      <c r="C21" s="16"/>
      <c r="D21" s="16"/>
      <c r="E21" s="17"/>
      <c r="F21" s="17">
        <v>16350</v>
      </c>
      <c r="G21" s="13" t="s">
        <v>39</v>
      </c>
      <c r="H21" s="13"/>
      <c r="I21" s="13"/>
    </row>
    <row r="22" spans="2:21" ht="18.75" x14ac:dyDescent="0.3">
      <c r="B22" s="59" t="s">
        <v>20</v>
      </c>
      <c r="C22" s="60"/>
      <c r="D22" s="61"/>
      <c r="E22" s="17">
        <v>30000</v>
      </c>
      <c r="F22" s="17"/>
      <c r="G22" s="13"/>
      <c r="H22" s="13"/>
      <c r="I22" s="13"/>
      <c r="N22" s="3">
        <v>1</v>
      </c>
      <c r="O22" s="15" t="s">
        <v>49</v>
      </c>
      <c r="P22" s="2"/>
      <c r="Q22" s="2"/>
      <c r="R22" s="2"/>
      <c r="S22" s="2"/>
      <c r="T22" s="2"/>
      <c r="U22" s="2"/>
    </row>
    <row r="23" spans="2:21" ht="18.75" x14ac:dyDescent="0.3">
      <c r="B23" s="16" t="s">
        <v>21</v>
      </c>
      <c r="C23" s="16"/>
      <c r="D23" s="16"/>
      <c r="E23" s="17"/>
      <c r="F23" s="17">
        <v>135515</v>
      </c>
      <c r="G23" s="12"/>
      <c r="H23" s="12"/>
      <c r="I23" s="12"/>
      <c r="N23" s="2"/>
      <c r="O23" s="2"/>
      <c r="P23" s="2"/>
      <c r="Q23" s="2"/>
      <c r="R23" s="2"/>
      <c r="S23" s="2"/>
      <c r="T23" s="2"/>
      <c r="U23" s="2"/>
    </row>
    <row r="24" spans="2:21" ht="18.75" x14ac:dyDescent="0.3">
      <c r="B24" s="16" t="s">
        <v>22</v>
      </c>
      <c r="C24" s="16"/>
      <c r="D24" s="16"/>
      <c r="E24" s="17">
        <v>45260</v>
      </c>
      <c r="F24" s="17"/>
      <c r="G24" s="12" t="s">
        <v>37</v>
      </c>
      <c r="H24" s="12"/>
      <c r="I24" s="12"/>
      <c r="N24" s="2"/>
      <c r="O24" s="2" t="s">
        <v>47</v>
      </c>
      <c r="P24" s="2" t="s">
        <v>48</v>
      </c>
      <c r="Q24" s="2"/>
      <c r="R24" s="2"/>
      <c r="S24" s="2"/>
      <c r="T24" s="2"/>
      <c r="U24" s="2"/>
    </row>
    <row r="25" spans="2:21" ht="18.75" x14ac:dyDescent="0.3">
      <c r="B25" s="16" t="s">
        <v>23</v>
      </c>
      <c r="C25" s="16"/>
      <c r="D25" s="16"/>
      <c r="E25" s="17">
        <v>1275</v>
      </c>
      <c r="F25" s="17"/>
      <c r="G25" s="12" t="s">
        <v>38</v>
      </c>
      <c r="H25" s="12"/>
      <c r="I25" s="12"/>
      <c r="N25" s="2"/>
      <c r="O25" s="2"/>
      <c r="P25" s="2"/>
      <c r="Q25" s="2"/>
      <c r="R25" s="2"/>
      <c r="S25" s="2"/>
      <c r="T25" s="2"/>
      <c r="U25" s="2"/>
    </row>
    <row r="26" spans="2:21" ht="18.75" x14ac:dyDescent="0.3">
      <c r="B26" s="59" t="s">
        <v>24</v>
      </c>
      <c r="C26" s="60"/>
      <c r="D26" s="61"/>
      <c r="E26" s="17">
        <v>12050</v>
      </c>
      <c r="F26" s="17"/>
      <c r="G26" s="12"/>
      <c r="H26" s="12"/>
      <c r="I26" s="12"/>
    </row>
    <row r="27" spans="2:21" ht="18.75" x14ac:dyDescent="0.3">
      <c r="B27" s="16" t="s">
        <v>25</v>
      </c>
      <c r="C27" s="16"/>
      <c r="D27" s="16"/>
      <c r="E27" s="17">
        <v>50</v>
      </c>
      <c r="F27" s="17"/>
      <c r="G27" s="12"/>
      <c r="H27" s="12"/>
      <c r="I27" s="12"/>
      <c r="P27" s="3" t="s">
        <v>2</v>
      </c>
    </row>
    <row r="28" spans="2:21" ht="18.75" x14ac:dyDescent="0.3">
      <c r="B28" s="16" t="s">
        <v>26</v>
      </c>
      <c r="C28" s="16"/>
      <c r="D28" s="16"/>
      <c r="E28" s="17">
        <v>28000</v>
      </c>
      <c r="F28" s="17"/>
      <c r="G28" s="12"/>
      <c r="H28" s="12"/>
      <c r="I28" s="12"/>
      <c r="P28" s="3" t="s">
        <v>104</v>
      </c>
      <c r="Q28" s="2"/>
    </row>
    <row r="29" spans="2:21" ht="18.75" x14ac:dyDescent="0.3">
      <c r="B29" s="16" t="s">
        <v>27</v>
      </c>
      <c r="C29" s="16"/>
      <c r="D29" s="16"/>
      <c r="E29" s="17">
        <v>330</v>
      </c>
      <c r="F29" s="17"/>
      <c r="G29" s="12"/>
      <c r="H29" s="12"/>
      <c r="I29" s="12"/>
      <c r="P29" s="4" t="s">
        <v>44</v>
      </c>
      <c r="U29" s="14"/>
    </row>
    <row r="30" spans="2:21" ht="18.75" x14ac:dyDescent="0.3">
      <c r="B30" s="16" t="s">
        <v>28</v>
      </c>
      <c r="C30" s="16"/>
      <c r="D30" s="16"/>
      <c r="E30" s="17">
        <v>875</v>
      </c>
      <c r="F30" s="17"/>
      <c r="G30" s="12"/>
      <c r="H30" s="12"/>
      <c r="I30" s="12"/>
      <c r="O30" s="22" t="s">
        <v>45</v>
      </c>
      <c r="P30" s="23"/>
      <c r="Q30" s="24"/>
      <c r="R30" s="25" t="s">
        <v>50</v>
      </c>
    </row>
    <row r="31" spans="2:21" ht="18.75" x14ac:dyDescent="0.3">
      <c r="B31" s="16" t="s">
        <v>29</v>
      </c>
      <c r="C31" s="16"/>
      <c r="D31" s="16"/>
      <c r="E31" s="17">
        <v>3600</v>
      </c>
      <c r="F31" s="17"/>
      <c r="G31" s="12"/>
      <c r="H31" s="12"/>
      <c r="I31" s="12"/>
      <c r="O31" s="16" t="s">
        <v>21</v>
      </c>
      <c r="P31" s="16"/>
      <c r="Q31" s="26"/>
      <c r="R31" s="17"/>
    </row>
    <row r="32" spans="2:21" ht="18.75" x14ac:dyDescent="0.3">
      <c r="B32" s="16" t="s">
        <v>30</v>
      </c>
      <c r="C32" s="16"/>
      <c r="D32" s="16"/>
      <c r="E32" s="17">
        <v>2100</v>
      </c>
      <c r="F32" s="17"/>
      <c r="G32" s="12"/>
      <c r="H32" s="12"/>
      <c r="I32" s="12"/>
      <c r="O32" s="22" t="s">
        <v>46</v>
      </c>
      <c r="P32" s="22"/>
      <c r="Q32" s="26"/>
      <c r="R32" s="17">
        <f>F23</f>
        <v>135515</v>
      </c>
    </row>
    <row r="33" spans="2:19" ht="18.75" x14ac:dyDescent="0.3">
      <c r="B33" s="53" t="s">
        <v>31</v>
      </c>
      <c r="C33" s="54"/>
      <c r="D33" s="55"/>
      <c r="E33" s="6">
        <f>SUM(E8:E32)</f>
        <v>185715</v>
      </c>
      <c r="F33" s="6">
        <f>SUM(F14:F23)</f>
        <v>185715</v>
      </c>
      <c r="O33" s="16" t="s">
        <v>22</v>
      </c>
      <c r="P33" s="16"/>
      <c r="Q33" s="17">
        <v>45260</v>
      </c>
      <c r="R33" s="17"/>
    </row>
    <row r="34" spans="2:19" ht="18.75" x14ac:dyDescent="0.3">
      <c r="O34" s="16" t="s">
        <v>23</v>
      </c>
      <c r="P34" s="16"/>
      <c r="Q34" s="17">
        <v>1275</v>
      </c>
      <c r="R34" s="17"/>
    </row>
    <row r="35" spans="2:19" ht="18.75" x14ac:dyDescent="0.3">
      <c r="O35" s="16" t="s">
        <v>24</v>
      </c>
      <c r="P35" s="16"/>
      <c r="Q35" s="17">
        <v>12050</v>
      </c>
      <c r="R35" s="17"/>
    </row>
    <row r="36" spans="2:19" ht="18.75" x14ac:dyDescent="0.3">
      <c r="O36" s="16" t="s">
        <v>25</v>
      </c>
      <c r="P36" s="16"/>
      <c r="Q36" s="17">
        <v>50</v>
      </c>
      <c r="R36" s="17"/>
    </row>
    <row r="37" spans="2:19" ht="18.75" x14ac:dyDescent="0.3">
      <c r="O37" s="16" t="s">
        <v>27</v>
      </c>
      <c r="P37" s="16"/>
      <c r="Q37" s="17">
        <v>330</v>
      </c>
      <c r="R37" s="17"/>
    </row>
    <row r="38" spans="2:19" ht="18.75" x14ac:dyDescent="0.3">
      <c r="O38" s="16" t="s">
        <v>28</v>
      </c>
      <c r="P38" s="16"/>
      <c r="Q38" s="17">
        <v>875</v>
      </c>
      <c r="R38" s="17"/>
    </row>
    <row r="39" spans="2:19" ht="18.75" x14ac:dyDescent="0.3">
      <c r="O39" s="16" t="s">
        <v>29</v>
      </c>
      <c r="P39" s="16"/>
      <c r="Q39" s="17">
        <v>3600</v>
      </c>
      <c r="R39" s="17"/>
    </row>
    <row r="40" spans="2:19" ht="18.75" x14ac:dyDescent="0.3">
      <c r="O40" s="16" t="s">
        <v>30</v>
      </c>
      <c r="P40" s="16"/>
      <c r="Q40" s="17">
        <v>2100</v>
      </c>
      <c r="R40" s="17">
        <f>SUM(Q33:Q40)</f>
        <v>65540</v>
      </c>
    </row>
    <row r="41" spans="2:19" ht="21" x14ac:dyDescent="0.45">
      <c r="O41" s="24"/>
      <c r="P41" s="24" t="s">
        <v>68</v>
      </c>
      <c r="Q41" s="24"/>
      <c r="R41" s="27">
        <f>R32-R40</f>
        <v>69975</v>
      </c>
    </row>
    <row r="42" spans="2:19" ht="18.75" x14ac:dyDescent="0.3">
      <c r="O42" s="16" t="s">
        <v>69</v>
      </c>
      <c r="P42" s="16"/>
      <c r="Q42" s="24"/>
      <c r="R42" s="17">
        <f>E28</f>
        <v>28000</v>
      </c>
    </row>
    <row r="43" spans="2:19" ht="21" x14ac:dyDescent="0.45">
      <c r="O43" s="16" t="s">
        <v>70</v>
      </c>
      <c r="P43" s="24"/>
      <c r="Q43" s="24"/>
      <c r="R43" s="34">
        <f>R41-R42</f>
        <v>41975</v>
      </c>
      <c r="S43" t="s">
        <v>103</v>
      </c>
    </row>
    <row r="44" spans="2:19" x14ac:dyDescent="0.25">
      <c r="R44" s="62"/>
    </row>
    <row r="45" spans="2:19" ht="18.75" x14ac:dyDescent="0.3">
      <c r="N45" s="3">
        <v>2</v>
      </c>
      <c r="O45" s="18" t="s">
        <v>51</v>
      </c>
    </row>
    <row r="46" spans="2:19" x14ac:dyDescent="0.25">
      <c r="O46" t="s">
        <v>52</v>
      </c>
    </row>
    <row r="47" spans="2:19" x14ac:dyDescent="0.25">
      <c r="O47" t="s">
        <v>53</v>
      </c>
    </row>
    <row r="48" spans="2:19" x14ac:dyDescent="0.25">
      <c r="S48" s="1" t="s">
        <v>90</v>
      </c>
    </row>
    <row r="49" spans="4:18" ht="18.75" x14ac:dyDescent="0.3">
      <c r="O49" s="24"/>
      <c r="P49" s="5" t="s">
        <v>2</v>
      </c>
      <c r="Q49" s="24"/>
    </row>
    <row r="50" spans="4:18" ht="18.75" x14ac:dyDescent="0.3">
      <c r="O50" s="24"/>
      <c r="P50" s="5" t="s">
        <v>105</v>
      </c>
      <c r="Q50" s="28"/>
    </row>
    <row r="51" spans="4:18" ht="18.75" x14ac:dyDescent="0.3">
      <c r="O51" s="24"/>
      <c r="P51" s="29" t="s">
        <v>44</v>
      </c>
      <c r="Q51" s="24"/>
    </row>
    <row r="52" spans="4:18" ht="18.75" x14ac:dyDescent="0.3">
      <c r="O52" s="30"/>
      <c r="P52" s="30"/>
      <c r="Q52" s="28" t="s">
        <v>50</v>
      </c>
    </row>
    <row r="53" spans="4:18" ht="18.75" x14ac:dyDescent="0.3">
      <c r="O53" s="16" t="s">
        <v>71</v>
      </c>
      <c r="P53" s="28"/>
      <c r="Q53" s="17">
        <f>F21</f>
        <v>16350</v>
      </c>
    </row>
    <row r="54" spans="4:18" ht="18.75" x14ac:dyDescent="0.3">
      <c r="O54" s="28" t="s">
        <v>72</v>
      </c>
      <c r="P54" s="28"/>
      <c r="Q54" s="35">
        <f>R43</f>
        <v>41975</v>
      </c>
    </row>
    <row r="55" spans="4:18" ht="18.75" x14ac:dyDescent="0.3">
      <c r="O55" s="28" t="s">
        <v>73</v>
      </c>
      <c r="P55" s="28"/>
      <c r="Q55" s="17">
        <f>Q53+Q54</f>
        <v>58325</v>
      </c>
    </row>
    <row r="56" spans="4:18" ht="18.75" x14ac:dyDescent="0.3">
      <c r="O56" s="28" t="s">
        <v>74</v>
      </c>
      <c r="P56" s="28"/>
      <c r="Q56" s="17">
        <f>E22</f>
        <v>30000</v>
      </c>
    </row>
    <row r="57" spans="4:18" ht="21" x14ac:dyDescent="0.45">
      <c r="O57" s="28" t="s">
        <v>75</v>
      </c>
      <c r="P57" s="28"/>
      <c r="Q57" s="33">
        <f>Q55-Q56</f>
        <v>28325</v>
      </c>
    </row>
    <row r="60" spans="4:18" x14ac:dyDescent="0.25">
      <c r="I60" s="18" t="s">
        <v>54</v>
      </c>
      <c r="J60" s="19"/>
      <c r="K60" s="19"/>
      <c r="L60" s="19"/>
      <c r="M60" s="19"/>
      <c r="N60" s="19"/>
    </row>
    <row r="61" spans="4:18" x14ac:dyDescent="0.25">
      <c r="I61" s="19"/>
      <c r="J61" s="19" t="s">
        <v>55</v>
      </c>
      <c r="K61" s="19"/>
      <c r="L61" s="19"/>
      <c r="M61" s="19"/>
      <c r="N61" s="19"/>
    </row>
    <row r="62" spans="4:18" ht="18.75" x14ac:dyDescent="0.3">
      <c r="H62" s="3">
        <v>3</v>
      </c>
      <c r="R62" t="s">
        <v>91</v>
      </c>
    </row>
    <row r="63" spans="4:18" x14ac:dyDescent="0.25">
      <c r="H63" s="1"/>
      <c r="I63" s="1" t="s">
        <v>47</v>
      </c>
      <c r="J63" s="19" t="s">
        <v>56</v>
      </c>
      <c r="K63" s="19" t="s">
        <v>57</v>
      </c>
      <c r="L63" s="19"/>
      <c r="M63" s="19"/>
    </row>
    <row r="64" spans="4:18" x14ac:dyDescent="0.25">
      <c r="D64" t="s">
        <v>92</v>
      </c>
    </row>
    <row r="65" spans="4:23" ht="18.75" x14ac:dyDescent="0.3">
      <c r="D65" s="36" t="s">
        <v>94</v>
      </c>
      <c r="E65" s="36"/>
      <c r="F65" s="36"/>
      <c r="N65" s="3" t="s">
        <v>2</v>
      </c>
      <c r="O65" s="3"/>
    </row>
    <row r="66" spans="4:23" ht="18.75" x14ac:dyDescent="0.3">
      <c r="D66" s="36"/>
      <c r="E66" s="36"/>
      <c r="F66" s="36"/>
      <c r="N66" s="21" t="s">
        <v>36</v>
      </c>
      <c r="O66" s="21"/>
      <c r="P66" s="21"/>
    </row>
    <row r="67" spans="4:23" ht="18.75" x14ac:dyDescent="0.3">
      <c r="D67" t="s">
        <v>95</v>
      </c>
      <c r="N67" s="31" t="s">
        <v>102</v>
      </c>
      <c r="O67" s="31"/>
      <c r="P67" s="31"/>
    </row>
    <row r="68" spans="4:23" ht="15.75" x14ac:dyDescent="0.25">
      <c r="D68" t="s">
        <v>96</v>
      </c>
      <c r="J68" s="41" t="s">
        <v>58</v>
      </c>
      <c r="K68" s="41"/>
      <c r="L68" s="41"/>
      <c r="M68" s="23"/>
      <c r="N68" s="41" t="s">
        <v>59</v>
      </c>
      <c r="O68" s="44" t="s">
        <v>60</v>
      </c>
      <c r="P68" s="45"/>
      <c r="Q68" s="23"/>
      <c r="R68" s="41" t="s">
        <v>59</v>
      </c>
    </row>
    <row r="69" spans="4:23" ht="15.75" x14ac:dyDescent="0.25">
      <c r="J69" s="41" t="s">
        <v>33</v>
      </c>
      <c r="K69" s="23"/>
      <c r="L69" s="23"/>
      <c r="M69" s="23"/>
      <c r="N69" s="23"/>
      <c r="O69" s="43" t="s">
        <v>80</v>
      </c>
      <c r="P69" s="39"/>
      <c r="Q69" s="38"/>
      <c r="R69" s="38"/>
    </row>
    <row r="70" spans="4:23" ht="18.75" x14ac:dyDescent="0.3">
      <c r="D70" s="36" t="s">
        <v>93</v>
      </c>
      <c r="E70" s="36"/>
      <c r="F70" s="37"/>
      <c r="J70" s="39" t="s">
        <v>7</v>
      </c>
      <c r="K70" s="39"/>
      <c r="L70" s="39"/>
      <c r="M70" s="23"/>
      <c r="N70" s="17">
        <v>24550</v>
      </c>
      <c r="O70" s="39" t="s">
        <v>13</v>
      </c>
      <c r="P70" s="39"/>
      <c r="Q70" s="38"/>
      <c r="R70" s="17">
        <v>2500</v>
      </c>
    </row>
    <row r="71" spans="4:23" ht="18.75" x14ac:dyDescent="0.3">
      <c r="D71" s="36"/>
      <c r="E71" s="36"/>
      <c r="F71" s="37"/>
      <c r="J71" s="39" t="s">
        <v>8</v>
      </c>
      <c r="K71" s="39"/>
      <c r="L71" s="39"/>
      <c r="M71" s="23"/>
      <c r="N71" s="17">
        <v>17200</v>
      </c>
      <c r="O71" s="46" t="s">
        <v>14</v>
      </c>
      <c r="P71" s="47"/>
      <c r="Q71" s="38"/>
      <c r="R71" s="17">
        <v>8500</v>
      </c>
    </row>
    <row r="72" spans="4:23" ht="18.75" x14ac:dyDescent="0.3">
      <c r="D72" t="s">
        <v>97</v>
      </c>
      <c r="J72" s="39" t="s">
        <v>9</v>
      </c>
      <c r="K72" s="39"/>
      <c r="L72" s="39"/>
      <c r="M72" s="23"/>
      <c r="N72" s="17">
        <v>2100</v>
      </c>
      <c r="O72" s="46" t="s">
        <v>15</v>
      </c>
      <c r="P72" s="47"/>
      <c r="Q72" s="38"/>
      <c r="R72" s="17">
        <v>1550</v>
      </c>
    </row>
    <row r="73" spans="4:23" ht="18.75" x14ac:dyDescent="0.3">
      <c r="D73" t="s">
        <v>98</v>
      </c>
      <c r="J73" s="39" t="s">
        <v>10</v>
      </c>
      <c r="K73" s="39"/>
      <c r="L73" s="39"/>
      <c r="M73" s="23"/>
      <c r="N73" s="17">
        <v>100</v>
      </c>
      <c r="O73" s="39" t="s">
        <v>16</v>
      </c>
      <c r="P73" s="39"/>
      <c r="Q73" s="38"/>
      <c r="R73" s="17">
        <v>850</v>
      </c>
    </row>
    <row r="74" spans="4:23" ht="18.75" x14ac:dyDescent="0.3">
      <c r="D74" t="s">
        <v>99</v>
      </c>
      <c r="J74" s="39" t="s">
        <v>11</v>
      </c>
      <c r="K74" s="39"/>
      <c r="L74" s="39"/>
      <c r="M74" s="23"/>
      <c r="N74" s="17">
        <v>225</v>
      </c>
      <c r="O74" s="46" t="s">
        <v>17</v>
      </c>
      <c r="P74" s="47"/>
      <c r="Q74" s="38"/>
      <c r="R74" s="17">
        <v>50</v>
      </c>
    </row>
    <row r="75" spans="4:23" ht="15.75" x14ac:dyDescent="0.25">
      <c r="J75" s="39" t="s">
        <v>76</v>
      </c>
      <c r="K75" s="23"/>
      <c r="L75" s="23"/>
      <c r="M75" s="23"/>
      <c r="N75" s="63">
        <f>SUM(N70:N74)</f>
        <v>44175</v>
      </c>
      <c r="O75" s="46" t="s">
        <v>81</v>
      </c>
      <c r="P75" s="47"/>
      <c r="Q75" s="23"/>
      <c r="R75" s="63">
        <f>SUM(R70:R74)</f>
        <v>13450</v>
      </c>
    </row>
    <row r="76" spans="4:23" ht="15.75" x14ac:dyDescent="0.25">
      <c r="J76" s="43" t="s">
        <v>78</v>
      </c>
      <c r="K76" s="39"/>
      <c r="L76" s="39"/>
      <c r="M76" s="38"/>
      <c r="N76" s="23"/>
      <c r="O76" s="43" t="s">
        <v>82</v>
      </c>
      <c r="P76" s="39"/>
      <c r="Q76" s="38"/>
      <c r="R76" s="23"/>
    </row>
    <row r="77" spans="4:23" ht="15.75" x14ac:dyDescent="0.25">
      <c r="J77" s="39" t="s">
        <v>12</v>
      </c>
      <c r="K77" s="39"/>
      <c r="L77" s="39"/>
      <c r="M77" s="38">
        <f>E13</f>
        <v>18000</v>
      </c>
      <c r="N77" s="23"/>
      <c r="O77" s="39" t="s">
        <v>18</v>
      </c>
      <c r="P77" s="39"/>
      <c r="Q77" s="38">
        <f>F20</f>
        <v>15000</v>
      </c>
      <c r="R77" s="23"/>
      <c r="T77" s="1" t="s">
        <v>61</v>
      </c>
      <c r="V77" t="s">
        <v>106</v>
      </c>
    </row>
    <row r="78" spans="4:23" ht="15.75" x14ac:dyDescent="0.25">
      <c r="J78" s="23" t="s">
        <v>77</v>
      </c>
      <c r="K78" s="23"/>
      <c r="L78" s="23"/>
      <c r="M78" s="40">
        <f>F14</f>
        <v>5400</v>
      </c>
      <c r="N78" s="63">
        <f>M77-M78</f>
        <v>12600</v>
      </c>
      <c r="O78" s="46" t="s">
        <v>83</v>
      </c>
      <c r="P78" s="47"/>
      <c r="Q78" s="38">
        <f>Q57</f>
        <v>28325</v>
      </c>
      <c r="R78" s="63">
        <f>Q78+Q77</f>
        <v>43325</v>
      </c>
      <c r="V78" t="s">
        <v>62</v>
      </c>
    </row>
    <row r="79" spans="4:23" ht="15.75" x14ac:dyDescent="0.25">
      <c r="J79" s="23"/>
      <c r="K79" s="23"/>
      <c r="L79" s="23"/>
      <c r="M79" s="23"/>
      <c r="N79" s="23"/>
      <c r="O79" s="46"/>
      <c r="P79" s="47"/>
      <c r="Q79" s="23"/>
      <c r="R79" s="23"/>
    </row>
    <row r="80" spans="4:23" ht="18" x14ac:dyDescent="0.4">
      <c r="J80" s="23" t="s">
        <v>79</v>
      </c>
      <c r="K80" s="23"/>
      <c r="L80" s="23"/>
      <c r="M80" s="23"/>
      <c r="N80" s="42">
        <f>N78+N75</f>
        <v>56775</v>
      </c>
      <c r="O80" s="46" t="s">
        <v>79</v>
      </c>
      <c r="P80" s="47"/>
      <c r="Q80" s="23"/>
      <c r="R80" s="42">
        <f>R78+R75</f>
        <v>56775</v>
      </c>
      <c r="V80" t="s">
        <v>47</v>
      </c>
      <c r="W80" t="s">
        <v>63</v>
      </c>
    </row>
    <row r="82" spans="12:33" ht="18.75" x14ac:dyDescent="0.3">
      <c r="M82" s="3" t="s">
        <v>2</v>
      </c>
      <c r="N82" s="3"/>
      <c r="Z82" s="3" t="s">
        <v>107</v>
      </c>
      <c r="AA82" s="3"/>
    </row>
    <row r="83" spans="12:33" ht="18.75" x14ac:dyDescent="0.3">
      <c r="M83" s="51" t="s">
        <v>36</v>
      </c>
      <c r="N83" s="51"/>
      <c r="O83" s="51"/>
      <c r="Z83" s="3" t="s">
        <v>84</v>
      </c>
      <c r="AA83" s="2"/>
      <c r="AE83" t="s">
        <v>64</v>
      </c>
      <c r="AG83" s="20">
        <v>70000</v>
      </c>
    </row>
    <row r="84" spans="12:33" ht="18.75" x14ac:dyDescent="0.3">
      <c r="M84" s="52" t="s">
        <v>101</v>
      </c>
      <c r="N84" s="52"/>
      <c r="O84" s="52"/>
      <c r="Y84" s="4" t="s">
        <v>44</v>
      </c>
      <c r="Z84" s="2"/>
      <c r="AE84" t="s">
        <v>65</v>
      </c>
      <c r="AG84" s="20">
        <v>200000</v>
      </c>
    </row>
    <row r="85" spans="12:33" x14ac:dyDescent="0.25">
      <c r="L85" s="25" t="s">
        <v>58</v>
      </c>
      <c r="M85" s="25"/>
      <c r="N85" s="25"/>
      <c r="O85" s="24"/>
      <c r="P85" s="25" t="s">
        <v>59</v>
      </c>
      <c r="X85" s="24"/>
      <c r="Y85" s="24"/>
      <c r="Z85" s="24"/>
      <c r="AA85" s="24"/>
      <c r="AB85" s="24" t="s">
        <v>86</v>
      </c>
      <c r="AE85" t="s">
        <v>66</v>
      </c>
      <c r="AG85" s="20">
        <v>39000</v>
      </c>
    </row>
    <row r="86" spans="12:33" ht="15.75" x14ac:dyDescent="0.25">
      <c r="L86" s="23" t="s">
        <v>33</v>
      </c>
      <c r="M86" s="23"/>
      <c r="N86" s="23"/>
      <c r="O86" s="23"/>
      <c r="P86" s="23"/>
      <c r="X86" s="24" t="s">
        <v>85</v>
      </c>
      <c r="Y86" s="24"/>
      <c r="Z86" s="24"/>
      <c r="AA86" s="24"/>
      <c r="AB86" s="26">
        <f>AG84</f>
        <v>200000</v>
      </c>
    </row>
    <row r="87" spans="12:33" ht="15.75" x14ac:dyDescent="0.25">
      <c r="L87" s="39" t="s">
        <v>7</v>
      </c>
      <c r="M87" s="39"/>
      <c r="N87" s="39"/>
      <c r="O87" s="23"/>
      <c r="P87" s="38">
        <v>24550</v>
      </c>
      <c r="X87" s="24" t="s">
        <v>87</v>
      </c>
      <c r="Y87" s="24"/>
      <c r="Z87" s="24"/>
      <c r="AA87" s="24"/>
      <c r="AB87" s="26">
        <f>AG85</f>
        <v>39000</v>
      </c>
    </row>
    <row r="88" spans="12:33" ht="15.75" x14ac:dyDescent="0.25">
      <c r="L88" s="39" t="s">
        <v>8</v>
      </c>
      <c r="M88" s="39"/>
      <c r="N88" s="39"/>
      <c r="O88" s="23"/>
      <c r="P88" s="38">
        <v>17200</v>
      </c>
      <c r="X88" s="24"/>
      <c r="Y88" s="24" t="s">
        <v>68</v>
      </c>
      <c r="Z88" s="24"/>
      <c r="AA88" s="24"/>
      <c r="AB88" s="26">
        <f>AB86+AB87</f>
        <v>239000</v>
      </c>
    </row>
    <row r="89" spans="12:33" ht="15.75" x14ac:dyDescent="0.25">
      <c r="L89" s="39" t="s">
        <v>9</v>
      </c>
      <c r="M89" s="39"/>
      <c r="N89" s="39"/>
      <c r="O89" s="23"/>
      <c r="P89" s="38">
        <v>2100</v>
      </c>
      <c r="X89" s="24" t="s">
        <v>88</v>
      </c>
      <c r="Y89" s="24"/>
      <c r="Z89" s="24"/>
      <c r="AA89" s="24"/>
      <c r="AB89" s="26">
        <f>AG83</f>
        <v>70000</v>
      </c>
    </row>
    <row r="90" spans="12:33" ht="18" x14ac:dyDescent="0.4">
      <c r="L90" s="39" t="s">
        <v>10</v>
      </c>
      <c r="M90" s="39"/>
      <c r="N90" s="39"/>
      <c r="O90" s="23"/>
      <c r="P90" s="38">
        <v>100</v>
      </c>
      <c r="X90" s="24" t="s">
        <v>89</v>
      </c>
      <c r="Y90" s="24"/>
      <c r="Z90" s="24"/>
      <c r="AA90" s="24"/>
      <c r="AB90" s="32">
        <f>AB88-AB89</f>
        <v>169000</v>
      </c>
    </row>
    <row r="91" spans="12:33" ht="15.75" x14ac:dyDescent="0.25">
      <c r="L91" s="39" t="s">
        <v>11</v>
      </c>
      <c r="M91" s="39"/>
      <c r="N91" s="39"/>
      <c r="O91" s="23"/>
      <c r="P91" s="38">
        <v>225</v>
      </c>
    </row>
    <row r="92" spans="12:33" ht="15.75" x14ac:dyDescent="0.25">
      <c r="L92" s="39" t="s">
        <v>76</v>
      </c>
      <c r="M92" s="23"/>
      <c r="N92" s="23"/>
      <c r="O92" s="23"/>
      <c r="P92" s="38">
        <f>SUM(P87:P91)</f>
        <v>44175</v>
      </c>
    </row>
    <row r="93" spans="12:33" ht="15.75" x14ac:dyDescent="0.25">
      <c r="L93" s="39" t="s">
        <v>78</v>
      </c>
      <c r="M93" s="39"/>
      <c r="N93" s="39"/>
      <c r="O93" s="38"/>
      <c r="P93" s="23"/>
    </row>
    <row r="94" spans="12:33" ht="15.75" x14ac:dyDescent="0.25">
      <c r="L94" s="39" t="s">
        <v>12</v>
      </c>
      <c r="M94" s="39"/>
      <c r="N94" s="39"/>
      <c r="O94" s="38">
        <v>18000</v>
      </c>
      <c r="P94" s="23"/>
    </row>
    <row r="95" spans="12:33" ht="15.75" x14ac:dyDescent="0.25">
      <c r="L95" s="23" t="s">
        <v>77</v>
      </c>
      <c r="M95" s="23"/>
      <c r="N95" s="23"/>
      <c r="O95" s="40">
        <v>5400</v>
      </c>
      <c r="P95" s="38">
        <f>O94-O95</f>
        <v>12600</v>
      </c>
    </row>
    <row r="96" spans="12:33" ht="15.75" x14ac:dyDescent="0.25">
      <c r="L96" s="23"/>
      <c r="M96" s="23"/>
      <c r="N96" s="23"/>
      <c r="O96" s="23"/>
      <c r="P96" s="23"/>
    </row>
    <row r="97" spans="12:16" ht="18" x14ac:dyDescent="0.4">
      <c r="L97" s="23" t="s">
        <v>79</v>
      </c>
      <c r="M97" s="23"/>
      <c r="N97" s="23"/>
      <c r="O97" s="23"/>
      <c r="P97" s="42">
        <f>P95+P92</f>
        <v>56775</v>
      </c>
    </row>
    <row r="98" spans="12:16" ht="15.75" x14ac:dyDescent="0.25">
      <c r="L98" s="41" t="s">
        <v>100</v>
      </c>
      <c r="M98" s="41"/>
      <c r="N98" s="41"/>
      <c r="O98" s="23"/>
      <c r="P98" s="41"/>
    </row>
    <row r="99" spans="12:16" ht="15.75" x14ac:dyDescent="0.25">
      <c r="L99" s="39" t="s">
        <v>80</v>
      </c>
      <c r="M99" s="39"/>
      <c r="N99" s="39"/>
      <c r="O99" s="38"/>
      <c r="P99" s="38"/>
    </row>
    <row r="100" spans="12:16" ht="15.75" x14ac:dyDescent="0.25">
      <c r="L100" s="39" t="s">
        <v>13</v>
      </c>
      <c r="M100" s="39"/>
      <c r="N100" s="39"/>
      <c r="O100" s="38"/>
      <c r="P100" s="38">
        <v>2500</v>
      </c>
    </row>
    <row r="101" spans="12:16" ht="15.75" x14ac:dyDescent="0.25">
      <c r="L101" s="39" t="s">
        <v>14</v>
      </c>
      <c r="M101" s="39"/>
      <c r="N101" s="39"/>
      <c r="O101" s="38"/>
      <c r="P101" s="38">
        <v>8500</v>
      </c>
    </row>
    <row r="102" spans="12:16" ht="15.75" x14ac:dyDescent="0.25">
      <c r="L102" s="39" t="s">
        <v>15</v>
      </c>
      <c r="M102" s="39"/>
      <c r="N102" s="39"/>
      <c r="O102" s="38"/>
      <c r="P102" s="38">
        <v>1550</v>
      </c>
    </row>
    <row r="103" spans="12:16" ht="15.75" x14ac:dyDescent="0.25">
      <c r="L103" s="39" t="s">
        <v>16</v>
      </c>
      <c r="M103" s="39"/>
      <c r="N103" s="39"/>
      <c r="O103" s="38"/>
      <c r="P103" s="38">
        <v>850</v>
      </c>
    </row>
    <row r="104" spans="12:16" ht="15.75" x14ac:dyDescent="0.25">
      <c r="L104" s="39" t="s">
        <v>17</v>
      </c>
      <c r="M104" s="39"/>
      <c r="N104" s="39"/>
      <c r="O104" s="38"/>
      <c r="P104" s="38">
        <v>50</v>
      </c>
    </row>
    <row r="105" spans="12:16" ht="15.75" x14ac:dyDescent="0.25">
      <c r="L105" s="23"/>
      <c r="M105" s="23" t="s">
        <v>81</v>
      </c>
      <c r="N105" s="23"/>
      <c r="O105" s="23"/>
      <c r="P105" s="38">
        <f>SUM(P100:P104)</f>
        <v>13450</v>
      </c>
    </row>
    <row r="106" spans="12:16" ht="15.75" x14ac:dyDescent="0.25">
      <c r="L106" s="43" t="s">
        <v>82</v>
      </c>
      <c r="M106" s="43"/>
      <c r="N106" s="43"/>
      <c r="O106" s="38"/>
      <c r="P106" s="23"/>
    </row>
    <row r="107" spans="12:16" ht="15.75" x14ac:dyDescent="0.25">
      <c r="L107" s="39" t="s">
        <v>18</v>
      </c>
      <c r="M107" s="39"/>
      <c r="N107" s="39"/>
      <c r="O107" s="38">
        <v>15000</v>
      </c>
      <c r="P107" s="23"/>
    </row>
    <row r="108" spans="12:16" ht="15.75" x14ac:dyDescent="0.25">
      <c r="L108" s="23" t="s">
        <v>83</v>
      </c>
      <c r="M108" s="23"/>
      <c r="N108" s="23"/>
      <c r="O108" s="38">
        <f>Q57</f>
        <v>28325</v>
      </c>
      <c r="P108" s="38">
        <f>SUM(O107:O108)</f>
        <v>43325</v>
      </c>
    </row>
    <row r="109" spans="12:16" ht="15.75" x14ac:dyDescent="0.25">
      <c r="L109" s="23"/>
      <c r="M109" s="23"/>
      <c r="N109" s="23"/>
      <c r="O109" s="23"/>
      <c r="P109" s="23"/>
    </row>
    <row r="110" spans="12:16" ht="18" x14ac:dyDescent="0.4">
      <c r="L110" s="23" t="s">
        <v>79</v>
      </c>
      <c r="M110" s="23"/>
      <c r="N110" s="23"/>
      <c r="O110" s="23"/>
      <c r="P110" s="42">
        <f>P105+P108</f>
        <v>56775</v>
      </c>
    </row>
  </sheetData>
  <mergeCells count="12">
    <mergeCell ref="M83:O83"/>
    <mergeCell ref="M84:O84"/>
    <mergeCell ref="B33:D33"/>
    <mergeCell ref="B7:D7"/>
    <mergeCell ref="B8:D8"/>
    <mergeCell ref="B13:D13"/>
    <mergeCell ref="B12:D12"/>
    <mergeCell ref="B15:D15"/>
    <mergeCell ref="B18:D18"/>
    <mergeCell ref="B20:D20"/>
    <mergeCell ref="B22:D22"/>
    <mergeCell ref="B26:D2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Preparing Financial Statements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sami ullah</dc:creator>
  <cp:lastModifiedBy>lh8 academic</cp:lastModifiedBy>
  <dcterms:created xsi:type="dcterms:W3CDTF">2015-06-05T18:17:20Z</dcterms:created>
  <dcterms:modified xsi:type="dcterms:W3CDTF">2025-03-25T09:59:24Z</dcterms:modified>
</cp:coreProperties>
</file>