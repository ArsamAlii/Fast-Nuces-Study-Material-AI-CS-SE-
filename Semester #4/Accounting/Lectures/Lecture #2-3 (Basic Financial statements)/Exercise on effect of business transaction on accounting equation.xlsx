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Spring 2025\Accounting\"/>
    </mc:Choice>
  </mc:AlternateContent>
  <xr:revisionPtr revIDLastSave="0" documentId="13_ncr:1_{2513F59F-5472-4FAC-9D7A-45242E2A52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erci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K26" i="1"/>
  <c r="J22" i="1"/>
  <c r="J24" i="1" s="1"/>
  <c r="D22" i="1"/>
  <c r="D24" i="1" s="1"/>
  <c r="L21" i="1"/>
  <c r="L22" i="1" s="1"/>
  <c r="I20" i="1"/>
  <c r="I22" i="1" s="1"/>
  <c r="I24" i="1" s="1"/>
  <c r="F20" i="1"/>
  <c r="F22" i="1" s="1"/>
  <c r="F24" i="1" s="1"/>
  <c r="J19" i="1"/>
  <c r="I18" i="1"/>
  <c r="G18" i="1"/>
  <c r="G20" i="1" s="1"/>
  <c r="G22" i="1" s="1"/>
  <c r="G24" i="1" s="1"/>
  <c r="E18" i="1"/>
  <c r="E20" i="1" s="1"/>
  <c r="E22" i="1" s="1"/>
  <c r="E24" i="1" s="1"/>
  <c r="J16" i="1"/>
  <c r="J18" i="1" s="1"/>
  <c r="H16" i="1"/>
  <c r="H18" i="1" s="1"/>
  <c r="H20" i="1" s="1"/>
  <c r="H22" i="1" s="1"/>
  <c r="H24" i="1" s="1"/>
  <c r="G16" i="1"/>
  <c r="C16" i="1"/>
  <c r="C18" i="1" s="1"/>
  <c r="C20" i="1" s="1"/>
  <c r="C22" i="1" s="1"/>
  <c r="K14" i="1"/>
  <c r="K16" i="1" s="1"/>
  <c r="K18" i="1" s="1"/>
  <c r="K20" i="1" s="1"/>
  <c r="K22" i="1" s="1"/>
</calcChain>
</file>

<file path=xl/sharedStrings.xml><?xml version="1.0" encoding="utf-8"?>
<sst xmlns="http://schemas.openxmlformats.org/spreadsheetml/2006/main" count="38" uniqueCount="32">
  <si>
    <t xml:space="preserve">Example 1…. </t>
  </si>
  <si>
    <t xml:space="preserve">Effect of Business transaction on accounting Equation </t>
  </si>
  <si>
    <t>1. the abc owner invested $ 100,000 in the business.</t>
  </si>
  <si>
    <t xml:space="preserve">2. the owner michael bryan purchased office building for the busines as well as land for the buisnes on $ 150000 and signed a note of $120000. $ 80000 belong land and $ 70000 belong to office building. </t>
  </si>
  <si>
    <t>3. Purchased office supplies on credit $ 4000.</t>
  </si>
  <si>
    <t xml:space="preserve">4. Purchased equipment for $ 8000 and sign a note. </t>
  </si>
  <si>
    <t xml:space="preserve">5. Sold item on xyx compnay amounted $ 45000 on account. </t>
  </si>
  <si>
    <t xml:space="preserve">6. Paid salaries to the employees of organization $ 7000. </t>
  </si>
  <si>
    <t xml:space="preserve">Asset </t>
  </si>
  <si>
    <t xml:space="preserve">Liability </t>
  </si>
  <si>
    <t>O.E</t>
  </si>
  <si>
    <t>Cash</t>
  </si>
  <si>
    <t>Account Receivable</t>
  </si>
  <si>
    <t>office suppies</t>
  </si>
  <si>
    <t>Equipment</t>
  </si>
  <si>
    <t xml:space="preserve">Land </t>
  </si>
  <si>
    <t xml:space="preserve">office building </t>
  </si>
  <si>
    <t>A/P</t>
  </si>
  <si>
    <t>N/P</t>
  </si>
  <si>
    <t xml:space="preserve">Michael Bryan Capital </t>
  </si>
  <si>
    <t>Revenue</t>
  </si>
  <si>
    <t>Expenses</t>
  </si>
  <si>
    <t>$80000</t>
  </si>
  <si>
    <t>$70000</t>
  </si>
  <si>
    <t>$120000</t>
  </si>
  <si>
    <t xml:space="preserve">Balance </t>
  </si>
  <si>
    <t>$4000</t>
  </si>
  <si>
    <t>$8000</t>
  </si>
  <si>
    <t>$128000</t>
  </si>
  <si>
    <t>$45000</t>
  </si>
  <si>
    <t>$7000</t>
  </si>
  <si>
    <t>Total Bal.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</si>
</sst>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s&quot;* #,##0.00_-;\-&quot;Rs&quot;* #,##0.00_-;_-&quot;Rs&quot;* &quot;-&quot;??_-;_-@_-"/>
    <numFmt numFmtId="165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2" fillId="0" borderId="1" xfId="0" applyNumberFormat="1" applyFont="1" applyBorder="1"/>
    <xf numFmtId="164" fontId="2" fillId="2" borderId="2" xfId="0" applyNumberFormat="1" applyFont="1" applyFill="1" applyBorder="1"/>
    <xf numFmtId="164" fontId="3" fillId="3" borderId="2" xfId="0" applyNumberFormat="1" applyFont="1" applyFill="1" applyBorder="1"/>
    <xf numFmtId="164" fontId="3" fillId="4" borderId="2" xfId="0" applyNumberFormat="1" applyFont="1" applyFill="1" applyBorder="1"/>
    <xf numFmtId="164" fontId="0" fillId="5" borderId="2" xfId="0" applyNumberFormat="1" applyFill="1" applyBorder="1"/>
    <xf numFmtId="164" fontId="0" fillId="5" borderId="3" xfId="0" applyNumberFormat="1" applyFill="1" applyBorder="1"/>
    <xf numFmtId="164" fontId="2" fillId="0" borderId="4" xfId="0" applyNumberFormat="1" applyFont="1" applyBorder="1"/>
    <xf numFmtId="165" fontId="2" fillId="2" borderId="5" xfId="0" applyNumberFormat="1" applyFont="1" applyFill="1" applyBorder="1"/>
    <xf numFmtId="165" fontId="2" fillId="3" borderId="5" xfId="0" applyNumberFormat="1" applyFont="1" applyFill="1" applyBorder="1"/>
    <xf numFmtId="165" fontId="2" fillId="4" borderId="5" xfId="0" applyNumberFormat="1" applyFont="1" applyFill="1" applyBorder="1"/>
    <xf numFmtId="165" fontId="2" fillId="5" borderId="5" xfId="0" applyNumberFormat="1" applyFont="1" applyFill="1" applyBorder="1"/>
    <xf numFmtId="165" fontId="2" fillId="5" borderId="6" xfId="0" applyNumberFormat="1" applyFont="1" applyFill="1" applyBorder="1"/>
    <xf numFmtId="0" fontId="0" fillId="0" borderId="4" xfId="0" applyBorder="1"/>
    <xf numFmtId="165" fontId="0" fillId="2" borderId="5" xfId="0" applyNumberFormat="1" applyFill="1" applyBorder="1"/>
    <xf numFmtId="165" fontId="0" fillId="3" borderId="5" xfId="0" applyNumberFormat="1" applyFill="1" applyBorder="1"/>
    <xf numFmtId="165" fontId="0" fillId="4" borderId="5" xfId="0" applyNumberFormat="1" applyFill="1" applyBorder="1"/>
    <xf numFmtId="165" fontId="0" fillId="5" borderId="5" xfId="0" applyNumberFormat="1" applyFill="1" applyBorder="1"/>
    <xf numFmtId="165" fontId="0" fillId="5" borderId="6" xfId="0" applyNumberFormat="1" applyFill="1" applyBorder="1"/>
    <xf numFmtId="165" fontId="1" fillId="5" borderId="6" xfId="0" applyNumberFormat="1" applyFont="1" applyFill="1" applyBorder="1"/>
    <xf numFmtId="164" fontId="0" fillId="0" borderId="4" xfId="0" applyNumberFormat="1" applyBorder="1"/>
    <xf numFmtId="165" fontId="1" fillId="3" borderId="0" xfId="0" applyNumberFormat="1" applyFont="1" applyFill="1"/>
    <xf numFmtId="164" fontId="0" fillId="0" borderId="7" xfId="0" applyNumberFormat="1" applyBorder="1"/>
    <xf numFmtId="165" fontId="0" fillId="2" borderId="8" xfId="0" applyNumberFormat="1" applyFill="1" applyBorder="1"/>
    <xf numFmtId="165" fontId="0" fillId="3" borderId="8" xfId="0" applyNumberFormat="1" applyFill="1" applyBorder="1"/>
    <xf numFmtId="165" fontId="0" fillId="4" borderId="8" xfId="0" applyNumberFormat="1" applyFill="1" applyBorder="1"/>
    <xf numFmtId="165" fontId="0" fillId="5" borderId="8" xfId="0" applyNumberFormat="1" applyFill="1" applyBorder="1"/>
    <xf numFmtId="165" fontId="0" fillId="5" borderId="9" xfId="0" applyNumberFormat="1" applyFill="1" applyBorder="1"/>
    <xf numFmtId="0" fontId="0" fillId="0" borderId="0" xfId="0" applyAlignment="1"/>
    <xf numFmtId="165" fontId="4" fillId="2" borderId="5" xfId="0" applyNumberFormat="1" applyFont="1" applyFill="1" applyBorder="1"/>
    <xf numFmtId="165" fontId="4" fillId="6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27"/>
  <sheetViews>
    <sheetView tabSelected="1" workbookViewId="0">
      <selection activeCell="K32" sqref="K32"/>
    </sheetView>
  </sheetViews>
  <sheetFormatPr defaultRowHeight="15" x14ac:dyDescent="0.25"/>
  <cols>
    <col min="3" max="3" width="17.7109375" customWidth="1"/>
    <col min="4" max="4" width="12.28515625" bestFit="1" customWidth="1"/>
    <col min="11" max="11" width="22.140625" bestFit="1" customWidth="1"/>
    <col min="13" max="13" width="10.42578125" bestFit="1" customWidth="1"/>
  </cols>
  <sheetData>
    <row r="3" spans="2:13" x14ac:dyDescent="0.25">
      <c r="B3" t="s">
        <v>0</v>
      </c>
    </row>
    <row r="4" spans="2:13" x14ac:dyDescent="0.25">
      <c r="B4" t="s">
        <v>1</v>
      </c>
    </row>
    <row r="5" spans="2:13" x14ac:dyDescent="0.25">
      <c r="C5" t="s">
        <v>2</v>
      </c>
    </row>
    <row r="6" spans="2:13" x14ac:dyDescent="0.25">
      <c r="C6" s="28" t="s">
        <v>3</v>
      </c>
    </row>
    <row r="7" spans="2:13" x14ac:dyDescent="0.25">
      <c r="C7" t="s">
        <v>4</v>
      </c>
    </row>
    <row r="8" spans="2:13" x14ac:dyDescent="0.25">
      <c r="C8" t="s">
        <v>5</v>
      </c>
    </row>
    <row r="9" spans="2:13" x14ac:dyDescent="0.25">
      <c r="C9" t="s">
        <v>6</v>
      </c>
    </row>
    <row r="10" spans="2:13" x14ac:dyDescent="0.25">
      <c r="C10" t="s">
        <v>7</v>
      </c>
    </row>
    <row r="11" spans="2:13" ht="15.75" thickBot="1" x14ac:dyDescent="0.3"/>
    <row r="12" spans="2:13" x14ac:dyDescent="0.25">
      <c r="B12" s="1"/>
      <c r="C12" s="2"/>
      <c r="D12" s="2"/>
      <c r="E12" s="2"/>
      <c r="F12" s="2"/>
      <c r="G12" s="2" t="s">
        <v>8</v>
      </c>
      <c r="H12" s="2"/>
      <c r="I12" s="3" t="s">
        <v>9</v>
      </c>
      <c r="J12" s="3"/>
      <c r="K12" s="4" t="s">
        <v>10</v>
      </c>
      <c r="L12" s="5"/>
      <c r="M12" s="6"/>
    </row>
    <row r="13" spans="2:13" x14ac:dyDescent="0.25">
      <c r="B13" s="7"/>
      <c r="C13" s="8" t="s">
        <v>11</v>
      </c>
      <c r="D13" s="8" t="s">
        <v>12</v>
      </c>
      <c r="E13" s="8" t="s">
        <v>13</v>
      </c>
      <c r="F13" s="8" t="s">
        <v>14</v>
      </c>
      <c r="G13" s="8" t="s">
        <v>15</v>
      </c>
      <c r="H13" s="8" t="s">
        <v>16</v>
      </c>
      <c r="I13" s="9" t="s">
        <v>17</v>
      </c>
      <c r="J13" s="9" t="s">
        <v>18</v>
      </c>
      <c r="K13" s="10" t="s">
        <v>19</v>
      </c>
      <c r="L13" s="11" t="s">
        <v>20</v>
      </c>
      <c r="M13" s="12" t="s">
        <v>21</v>
      </c>
    </row>
    <row r="14" spans="2:13" x14ac:dyDescent="0.25">
      <c r="B14" s="13">
        <v>1</v>
      </c>
      <c r="C14" s="14">
        <v>100000</v>
      </c>
      <c r="D14" s="14"/>
      <c r="E14" s="14"/>
      <c r="F14" s="14"/>
      <c r="G14" s="14"/>
      <c r="H14" s="14"/>
      <c r="I14" s="15"/>
      <c r="J14" s="15"/>
      <c r="K14" s="16">
        <f>C14</f>
        <v>100000</v>
      </c>
      <c r="L14" s="17"/>
      <c r="M14" s="18"/>
    </row>
    <row r="15" spans="2:13" x14ac:dyDescent="0.25">
      <c r="B15" s="13">
        <v>2</v>
      </c>
      <c r="C15" s="14">
        <v>30000</v>
      </c>
      <c r="D15" s="14"/>
      <c r="E15" s="14"/>
      <c r="F15" s="14"/>
      <c r="G15" s="14" t="s">
        <v>22</v>
      </c>
      <c r="H15" s="14" t="s">
        <v>23</v>
      </c>
      <c r="I15" s="15"/>
      <c r="J15" s="15" t="s">
        <v>24</v>
      </c>
      <c r="K15" s="16"/>
      <c r="L15" s="17"/>
      <c r="M15" s="18"/>
    </row>
    <row r="16" spans="2:13" x14ac:dyDescent="0.25">
      <c r="B16" s="13" t="s">
        <v>25</v>
      </c>
      <c r="C16" s="14">
        <f>C14-C15</f>
        <v>70000</v>
      </c>
      <c r="D16" s="14"/>
      <c r="E16" s="14"/>
      <c r="F16" s="14"/>
      <c r="G16" s="14" t="str">
        <f>G15</f>
        <v>$80000</v>
      </c>
      <c r="H16" s="14" t="str">
        <f>H15</f>
        <v>$70000</v>
      </c>
      <c r="I16" s="15"/>
      <c r="J16" s="15" t="str">
        <f>J15</f>
        <v>$120000</v>
      </c>
      <c r="K16" s="16">
        <f>K14</f>
        <v>100000</v>
      </c>
      <c r="L16" s="17"/>
      <c r="M16" s="18"/>
    </row>
    <row r="17" spans="2:13" x14ac:dyDescent="0.25">
      <c r="B17" s="13">
        <v>3</v>
      </c>
      <c r="C17" s="14"/>
      <c r="D17" s="14"/>
      <c r="E17" s="14" t="s">
        <v>26</v>
      </c>
      <c r="F17" s="14"/>
      <c r="G17" s="14"/>
      <c r="H17" s="14"/>
      <c r="I17" s="15" t="s">
        <v>26</v>
      </c>
      <c r="J17" s="15"/>
      <c r="K17" s="16"/>
      <c r="L17" s="17"/>
      <c r="M17" s="18"/>
    </row>
    <row r="18" spans="2:13" x14ac:dyDescent="0.25">
      <c r="B18" s="13" t="s">
        <v>25</v>
      </c>
      <c r="C18" s="14">
        <f>C16</f>
        <v>70000</v>
      </c>
      <c r="D18" s="14"/>
      <c r="E18" s="14" t="str">
        <f>E17</f>
        <v>$4000</v>
      </c>
      <c r="F18" s="14"/>
      <c r="G18" s="14" t="str">
        <f>G16</f>
        <v>$80000</v>
      </c>
      <c r="H18" s="14" t="str">
        <f>H16</f>
        <v>$70000</v>
      </c>
      <c r="I18" s="15" t="str">
        <f>I17</f>
        <v>$4000</v>
      </c>
      <c r="J18" s="15" t="str">
        <f>J16</f>
        <v>$120000</v>
      </c>
      <c r="K18" s="16">
        <f>K16</f>
        <v>100000</v>
      </c>
      <c r="L18" s="17"/>
      <c r="M18" s="18"/>
    </row>
    <row r="19" spans="2:13" x14ac:dyDescent="0.25">
      <c r="B19" s="13">
        <v>4</v>
      </c>
      <c r="C19" s="14"/>
      <c r="D19" s="14"/>
      <c r="E19" s="14"/>
      <c r="F19" s="14" t="s">
        <v>27</v>
      </c>
      <c r="G19" s="14"/>
      <c r="H19" s="14"/>
      <c r="I19" s="15"/>
      <c r="J19" s="15" t="str">
        <f>F19</f>
        <v>$8000</v>
      </c>
      <c r="K19" s="16"/>
      <c r="L19" s="17"/>
      <c r="M19" s="18"/>
    </row>
    <row r="20" spans="2:13" x14ac:dyDescent="0.25">
      <c r="B20" s="13" t="s">
        <v>25</v>
      </c>
      <c r="C20" s="14">
        <f>C18</f>
        <v>70000</v>
      </c>
      <c r="D20" s="14"/>
      <c r="E20" s="14" t="str">
        <f>E18</f>
        <v>$4000</v>
      </c>
      <c r="F20" s="14" t="str">
        <f>F19</f>
        <v>$8000</v>
      </c>
      <c r="G20" s="14" t="str">
        <f>G18</f>
        <v>$80000</v>
      </c>
      <c r="H20" s="14" t="str">
        <f>H18</f>
        <v>$70000</v>
      </c>
      <c r="I20" s="15" t="str">
        <f>I18</f>
        <v>$4000</v>
      </c>
      <c r="J20" s="15" t="s">
        <v>28</v>
      </c>
      <c r="K20" s="16">
        <f>K18</f>
        <v>100000</v>
      </c>
      <c r="L20" s="17"/>
      <c r="M20" s="18"/>
    </row>
    <row r="21" spans="2:13" x14ac:dyDescent="0.25">
      <c r="B21" s="13">
        <v>5</v>
      </c>
      <c r="C21" s="14"/>
      <c r="D21" s="14" t="s">
        <v>29</v>
      </c>
      <c r="E21" s="14"/>
      <c r="F21" s="14"/>
      <c r="G21" s="14"/>
      <c r="H21" s="14"/>
      <c r="I21" s="15"/>
      <c r="J21" s="15"/>
      <c r="K21" s="16"/>
      <c r="L21" s="17" t="str">
        <f>D21</f>
        <v>$45000</v>
      </c>
      <c r="M21" s="18"/>
    </row>
    <row r="22" spans="2:13" x14ac:dyDescent="0.25">
      <c r="B22" s="13" t="s">
        <v>25</v>
      </c>
      <c r="C22" s="14">
        <f>C20</f>
        <v>70000</v>
      </c>
      <c r="D22" s="14" t="str">
        <f>D21</f>
        <v>$45000</v>
      </c>
      <c r="E22" s="14" t="str">
        <f t="shared" ref="E22:K22" si="0">E20</f>
        <v>$4000</v>
      </c>
      <c r="F22" s="14" t="str">
        <f t="shared" si="0"/>
        <v>$8000</v>
      </c>
      <c r="G22" s="14" t="str">
        <f t="shared" si="0"/>
        <v>$80000</v>
      </c>
      <c r="H22" s="14" t="str">
        <f t="shared" si="0"/>
        <v>$70000</v>
      </c>
      <c r="I22" s="15" t="str">
        <f t="shared" si="0"/>
        <v>$4000</v>
      </c>
      <c r="J22" s="15" t="str">
        <f t="shared" si="0"/>
        <v>$128000</v>
      </c>
      <c r="K22" s="16">
        <f t="shared" si="0"/>
        <v>100000</v>
      </c>
      <c r="L22" s="17" t="str">
        <f>L21</f>
        <v>$45000</v>
      </c>
      <c r="M22" s="18"/>
    </row>
    <row r="23" spans="2:13" x14ac:dyDescent="0.25">
      <c r="B23" s="13">
        <v>6</v>
      </c>
      <c r="C23" s="14" t="s">
        <v>30</v>
      </c>
      <c r="D23" s="14"/>
      <c r="E23" s="14"/>
      <c r="F23" s="14"/>
      <c r="G23" s="14"/>
      <c r="H23" s="14"/>
      <c r="I23" s="15"/>
      <c r="J23" s="15"/>
      <c r="K23" s="16"/>
      <c r="L23" s="17"/>
      <c r="M23" s="18"/>
    </row>
    <row r="24" spans="2:13" x14ac:dyDescent="0.25">
      <c r="B24" s="13" t="s">
        <v>25</v>
      </c>
      <c r="C24" s="14">
        <v>63000</v>
      </c>
      <c r="D24" s="14" t="str">
        <f t="shared" ref="D24:J24" si="1">D22</f>
        <v>$45000</v>
      </c>
      <c r="E24" s="14" t="str">
        <f t="shared" si="1"/>
        <v>$4000</v>
      </c>
      <c r="F24" s="14" t="str">
        <f t="shared" si="1"/>
        <v>$8000</v>
      </c>
      <c r="G24" s="14" t="str">
        <f t="shared" si="1"/>
        <v>$80000</v>
      </c>
      <c r="H24" s="14" t="str">
        <f t="shared" si="1"/>
        <v>$70000</v>
      </c>
      <c r="I24" s="15" t="str">
        <f t="shared" si="1"/>
        <v>$4000</v>
      </c>
      <c r="J24" s="15" t="str">
        <f t="shared" si="1"/>
        <v>$128000</v>
      </c>
      <c r="K24" s="16">
        <v>138000</v>
      </c>
      <c r="L24" s="17"/>
      <c r="M24" s="19">
        <v>7000</v>
      </c>
    </row>
    <row r="25" spans="2:13" x14ac:dyDescent="0.25">
      <c r="B25" s="20"/>
      <c r="C25" s="14"/>
      <c r="D25" s="14"/>
      <c r="E25" s="14"/>
      <c r="F25" s="14"/>
      <c r="G25" s="14"/>
      <c r="H25" s="14"/>
      <c r="I25" s="15"/>
      <c r="J25" s="15"/>
      <c r="K25" s="16"/>
      <c r="L25" s="17"/>
      <c r="M25" s="18"/>
    </row>
    <row r="26" spans="2:13" ht="17.25" x14ac:dyDescent="0.4">
      <c r="B26" s="20"/>
      <c r="C26" s="14" t="s">
        <v>31</v>
      </c>
      <c r="D26" s="29">
        <f>C24+D24+E24+F24+G24+H24</f>
        <v>270000</v>
      </c>
      <c r="E26" s="14"/>
      <c r="F26" s="14"/>
      <c r="G26" s="14"/>
      <c r="H26" s="14"/>
      <c r="I26" s="21"/>
      <c r="J26" s="15" t="s">
        <v>31</v>
      </c>
      <c r="K26" s="30">
        <f>SUM(I24+J24+K24)</f>
        <v>270000</v>
      </c>
      <c r="L26" s="17"/>
      <c r="M26" s="18"/>
    </row>
    <row r="27" spans="2:13" ht="15.75" thickBot="1" x14ac:dyDescent="0.3">
      <c r="B27" s="22"/>
      <c r="C27" s="23"/>
      <c r="D27" s="23"/>
      <c r="E27" s="23"/>
      <c r="F27" s="23"/>
      <c r="G27" s="23"/>
      <c r="H27" s="23"/>
      <c r="I27" s="24"/>
      <c r="J27" s="24"/>
      <c r="K27" s="25"/>
      <c r="L27" s="26"/>
      <c r="M27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ullah</dc:creator>
  <cp:lastModifiedBy>sami ullah</cp:lastModifiedBy>
  <dcterms:created xsi:type="dcterms:W3CDTF">2015-06-05T18:17:20Z</dcterms:created>
  <dcterms:modified xsi:type="dcterms:W3CDTF">2025-02-11T13:11:18Z</dcterms:modified>
</cp:coreProperties>
</file>